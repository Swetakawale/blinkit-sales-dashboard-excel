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Sweta Kawale\Downloads\"/>
    </mc:Choice>
  </mc:AlternateContent>
  <xr:revisionPtr revIDLastSave="0" documentId="8_{8C66B9E4-91C1-4A68-9AAB-458211BD3A48}" xr6:coauthVersionLast="47" xr6:coauthVersionMax="47" xr10:uidLastSave="{00000000-0000-0000-0000-000000000000}"/>
  <bookViews>
    <workbookView xWindow="-108" yWindow="-108" windowWidth="23256" windowHeight="12456" activeTab="1" xr2:uid="{F8420BDF-C08E-4FBB-891B-F574F63AC6D0}"/>
  </bookViews>
  <sheets>
    <sheet name="Sheet2" sheetId="3" r:id="rId1"/>
    <sheet name="Sheet1" sheetId="2" r:id="rId2"/>
    <sheet name="BlinkIT Grocery Data" sheetId="1" r:id="rId3"/>
  </sheets>
  <definedNames>
    <definedName name="_xlchart.v2.0" hidden="1">Sheet2!$D$79:$D$81</definedName>
    <definedName name="_xlchart.v2.1" hidden="1">Sheet2!$E$78</definedName>
    <definedName name="_xlchart.v2.2" hidden="1">Sheet2!$E$79:$E$81</definedName>
    <definedName name="_xlchart.v2.3" hidden="1">Sheet2!$D$79:$D$81</definedName>
    <definedName name="_xlchart.v2.4" hidden="1">Sheet2!$E$78</definedName>
    <definedName name="_xlchart.v2.5" hidden="1">Sheet2!$E$79:$E$81</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0" i="3" l="1"/>
  <c r="E81" i="3"/>
  <c r="E79" i="3"/>
  <c r="D80" i="3"/>
  <c r="D81" i="3"/>
  <c r="D79" i="3"/>
  <c r="B6" i="3"/>
  <c r="A6" i="3"/>
  <c r="D6" i="3"/>
  <c r="C6" i="3"/>
</calcChain>
</file>

<file path=xl/sharedStrings.xml><?xml version="1.0" encoding="utf-8"?>
<sst xmlns="http://schemas.openxmlformats.org/spreadsheetml/2006/main" count="59752" uniqueCount="1631">
  <si>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</si>
  <si>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</si>
  <si>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</si>
  <si>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</si>
  <si>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</si>
  <si>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</si>
  <si>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</si>
  <si>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</si>
  <si>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</si>
  <si>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</si>
  <si>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</si>
  <si>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</si>
  <si>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</si>
  <si>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</si>
  <si>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</si>
  <si>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</si>
  <si>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</si>
  <si>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</si>
  <si>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</si>
  <si>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</si>
  <si>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</si>
  <si>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</si>
  <si>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</si>
  <si>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</si>
  <si>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</si>
  <si>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</si>
  <si>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</si>
  <si>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</si>
  <si>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</si>
  <si>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</si>
  <si>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</si>
  <si>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</si>
  <si>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</si>
  <si>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</si>
  <si>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</si>
  <si>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</si>
  <si>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</si>
  <si>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</si>
  <si>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</si>
  <si>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</si>
  <si>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</si>
  <si>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</si>
  <si>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</si>
  <si>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</si>
  <si>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</si>
  <si>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</si>
  <si>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</si>
  <si>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</si>
  <si>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</si>
  <si>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</si>
  <si>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</si>
  <si>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</si>
  <si>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</si>
  <si>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</si>
  <si>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</si>
  <si>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</si>
  <si>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</si>
  <si>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</si>
  <si>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</si>
  <si>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</si>
  <si>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</si>
  <si>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</si>
  <si>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</si>
  <si>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</si>
  <si>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</si>
  <si>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</si>
  <si>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</si>
  <si>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</si>
  <si>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</si>
  <si>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</si>
  <si>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</si>
  <si>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</si>
  <si>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</si>
  <si>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</si>
  <si>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</si>
  <si>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</si>
  <si>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</si>
  <si>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</si>
  <si>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</si>
  <si>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</si>
  <si>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</si>
  <si>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</si>
  <si>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</si>
  <si>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</si>
  <si>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</si>
  <si>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</si>
  <si>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</si>
  <si>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</si>
  <si>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</si>
  <si>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</si>
  <si>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</si>
  <si>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</si>
  <si>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</si>
  <si>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</si>
  <si>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</si>
  <si>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</si>
  <si>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</si>
  <si>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</si>
  <si>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</si>
  <si>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</si>
  <si>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</si>
  <si>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</si>
  <si>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</si>
  <si>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</si>
  <si>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</si>
  <si>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</si>
  <si>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</si>
  <si>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</si>
  <si>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</si>
  <si>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</si>
  <si>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</si>
  <si>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</si>
  <si>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</si>
  <si>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</si>
  <si>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</si>
  <si>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</si>
  <si>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</si>
  <si>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</si>
  <si>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</si>
  <si>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</si>
  <si>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</si>
  <si>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</si>
  <si>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</si>
  <si>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</si>
  <si>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</si>
  <si>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</si>
  <si>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</si>
  <si>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</si>
  <si>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</si>
  <si>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</si>
  <si>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</si>
  <si>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</si>
  <si>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</si>
  <si>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</si>
  <si>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</si>
  <si>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</si>
  <si>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</si>
  <si>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</si>
  <si>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</si>
  <si>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</si>
  <si>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</si>
  <si>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</si>
  <si>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</si>
  <si>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</si>
  <si>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</si>
  <si>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</si>
  <si>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</si>
  <si>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</si>
  <si>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</si>
  <si>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</si>
  <si>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</si>
  <si>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</si>
  <si>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</si>
  <si>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</si>
  <si>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</si>
  <si>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</si>
  <si>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</si>
  <si>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</si>
  <si>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</si>
  <si>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</si>
  <si>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</si>
  <si>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</si>
  <si>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</si>
  <si>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</si>
  <si>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</si>
  <si>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</si>
  <si>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</si>
  <si>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</si>
  <si>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</si>
  <si>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</si>
  <si>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</si>
  <si>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</si>
  <si>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</si>
  <si>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</si>
  <si>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</si>
  <si>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</si>
  <si>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</si>
  <si>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</si>
  <si>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</si>
  <si>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</si>
  <si>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</si>
  <si>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</si>
  <si>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</si>
  <si>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</si>
  <si>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</si>
  <si>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</si>
  <si>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</si>
  <si>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</si>
  <si>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</si>
  <si>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</si>
  <si>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</si>
  <si>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</si>
  <si>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</si>
  <si>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</si>
  <si>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</si>
  <si>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</si>
  <si>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</si>
  <si>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</si>
  <si>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</si>
  <si>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</si>
  <si>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</si>
  <si>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</si>
  <si>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</si>
  <si>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</si>
  <si>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</si>
  <si>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</si>
  <si>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</si>
  <si>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</si>
  <si>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</si>
  <si>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</si>
  <si>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</si>
  <si>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</si>
  <si>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</si>
  <si>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</si>
  <si>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</si>
  <si>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</si>
  <si>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</si>
  <si>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</si>
  <si>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</si>
  <si>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</si>
  <si>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</si>
  <si>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</si>
  <si>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</si>
  <si>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</si>
  <si>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</si>
  <si>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</si>
  <si>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</si>
  <si>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</si>
  <si>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</si>
  <si>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</si>
  <si>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</si>
  <si>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</si>
  <si>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</si>
  <si>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</si>
  <si>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</si>
  <si>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</si>
  <si>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</si>
  <si>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</si>
  <si>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</si>
  <si>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</si>
  <si>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</si>
  <si>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</si>
  <si>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</si>
  <si>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</si>
  <si>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</si>
  <si>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</si>
  <si>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</si>
  <si>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</si>
  <si>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</si>
  <si>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</si>
  <si>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</si>
  <si>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</si>
  <si>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</si>
  <si>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</si>
  <si>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</si>
  <si>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</si>
  <si>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</si>
  <si>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</si>
  <si>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</si>
  <si>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</si>
  <si>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</si>
  <si>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</si>
  <si>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</si>
  <si>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</si>
  <si>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</si>
  <si>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</si>
  <si>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</si>
  <si>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</si>
  <si>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</si>
  <si>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</si>
  <si>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</si>
  <si>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</si>
  <si>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</si>
  <si>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</si>
  <si>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</si>
  <si>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</si>
  <si>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</si>
  <si>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</si>
  <si>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</si>
  <si>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</si>
  <si>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</si>
  <si>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</si>
  <si>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</si>
  <si>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</si>
  <si>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</si>
  <si>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</si>
  <si>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</si>
  <si>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</si>
  <si>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</si>
  <si>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</si>
  <si>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</si>
  <si>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</si>
  <si>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</si>
  <si>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</si>
  <si>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</si>
  <si>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</si>
  <si>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</si>
  <si>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</si>
  <si>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</si>
  <si>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</si>
  <si>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</si>
  <si>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</si>
  <si>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</si>
  <si>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</si>
  <si>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</si>
  <si>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</si>
  <si>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</si>
  <si>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</si>
  <si>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</si>
  <si>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</si>
  <si>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</si>
  <si>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</si>
  <si>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</si>
  <si>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</si>
  <si>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</si>
  <si>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</si>
  <si>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</si>
  <si>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</si>
  <si>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</si>
  <si>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</si>
  <si>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</si>
  <si>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</si>
  <si>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</si>
  <si>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</si>
  <si>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</si>
  <si>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</si>
  <si>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</si>
  <si>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</si>
  <si>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</si>
  <si>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</si>
  <si>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</si>
  <si>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</si>
  <si>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</si>
  <si>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</si>
  <si>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</si>
  <si>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</si>
  <si>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</si>
  <si>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</si>
  <si>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</si>
  <si>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</si>
  <si>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</si>
  <si>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</si>
  <si>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</si>
  <si>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</si>
  <si>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</si>
  <si>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</si>
  <si>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</si>
  <si>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</si>
  <si>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</si>
  <si>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</si>
  <si>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</si>
  <si>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</si>
  <si>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</si>
  <si>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</si>
  <si>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</si>
  <si>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</si>
  <si>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</si>
  <si>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</si>
  <si>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</si>
  <si>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</si>
  <si>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</si>
  <si>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</si>
  <si>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</si>
  <si>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</si>
  <si>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</si>
  <si>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</si>
  <si>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</si>
  <si>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</si>
  <si>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</si>
  <si>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</si>
  <si>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</si>
  <si>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</si>
  <si>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</si>
  <si>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</si>
  <si>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</si>
  <si>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</si>
  <si>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</si>
  <si>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</si>
  <si>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</si>
  <si>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</si>
  <si>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</si>
  <si>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</si>
  <si>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</si>
  <si>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</si>
  <si>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</si>
  <si>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</si>
  <si>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</si>
  <si>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</si>
  <si>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</si>
  <si>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</si>
  <si>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</si>
  <si>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</si>
  <si>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</si>
  <si>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</si>
  <si>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</si>
  <si>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</si>
  <si>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</si>
  <si>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</si>
  <si>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</si>
  <si>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</si>
  <si>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</si>
  <si>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</si>
  <si>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</si>
  <si>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</si>
  <si>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</si>
  <si>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</si>
  <si>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</si>
  <si>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</si>
  <si>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</si>
  <si>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</si>
  <si>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</si>
  <si>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</si>
  <si>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</si>
  <si>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</si>
  <si>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</si>
  <si>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</si>
  <si>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</si>
  <si>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</si>
  <si>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</si>
  <si>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</si>
  <si>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</si>
  <si>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</si>
  <si>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</si>
  <si>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</si>
  <si>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</si>
  <si>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</si>
  <si>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</si>
  <si>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</si>
  <si>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</si>
  <si>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</si>
  <si>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</si>
  <si>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</si>
  <si>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</si>
  <si>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</si>
  <si>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</si>
  <si>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</si>
  <si>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</si>
  <si>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</si>
  <si>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</si>
  <si>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</si>
  <si>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</si>
  <si>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</si>
  <si>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</si>
  <si>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</si>
  <si>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</si>
  <si>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</si>
  <si>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</si>
  <si>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</si>
  <si>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</si>
  <si>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</si>
  <si>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</si>
  <si>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</si>
  <si>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</si>
  <si>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</si>
  <si>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</si>
  <si>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</si>
  <si>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</si>
  <si>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</si>
  <si>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</si>
  <si>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</si>
  <si>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</si>
  <si>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</si>
  <si>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</si>
  <si>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</si>
  <si>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</si>
  <si>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</si>
  <si>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</si>
  <si>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</si>
  <si>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</si>
  <si>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</si>
  <si>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</si>
  <si>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</si>
  <si>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</si>
  <si>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</si>
  <si>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</si>
  <si>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</si>
  <si>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</si>
  <si>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</si>
  <si>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</si>
  <si>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</si>
  <si>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</si>
  <si>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</si>
  <si>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</si>
  <si>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</si>
  <si>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</si>
  <si>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</si>
  <si>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</si>
  <si>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</si>
  <si>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</si>
  <si>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</si>
  <si>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</si>
  <si>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</si>
  <si>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</si>
  <si>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</si>
  <si>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</si>
  <si>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</si>
  <si>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</si>
  <si>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</si>
  <si>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</si>
  <si>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</si>
  <si>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</si>
  <si>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</si>
  <si>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</si>
  <si>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</si>
  <si>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</si>
  <si>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</si>
  <si>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</si>
  <si>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</si>
  <si>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</si>
  <si>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</si>
  <si>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</si>
  <si>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</si>
  <si>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</si>
  <si>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</si>
  <si>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</si>
  <si>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</si>
  <si>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</si>
  <si>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</si>
  <si>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</si>
  <si>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</si>
  <si>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</si>
  <si>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</si>
  <si>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</si>
  <si>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</si>
  <si>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</si>
  <si>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</si>
  <si>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</si>
  <si>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</si>
  <si>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</si>
  <si>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</si>
  <si>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</si>
  <si>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</si>
  <si>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</si>
  <si>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</si>
  <si>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</si>
  <si>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</si>
  <si>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</si>
  <si>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</si>
  <si>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</si>
  <si>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</si>
  <si>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</si>
  <si>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</si>
  <si>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</si>
  <si>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</si>
  <si>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</si>
  <si>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</si>
  <si>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</si>
  <si>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</si>
  <si>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</si>
  <si>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</si>
  <si>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</si>
  <si>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</si>
  <si>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</si>
  <si>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</si>
  <si>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</si>
  <si>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</si>
  <si>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</si>
  <si>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</si>
  <si>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</si>
  <si>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</si>
  <si>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</si>
  <si>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</si>
  <si>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</si>
  <si>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</si>
  <si>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</si>
  <si>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</si>
  <si>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</si>
  <si>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</si>
  <si>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</si>
  <si>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</si>
  <si>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</si>
  <si>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</si>
  <si>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</si>
  <si>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</si>
  <si>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</si>
  <si>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</si>
  <si>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</si>
  <si>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</si>
  <si>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</si>
  <si>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</si>
  <si>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</si>
  <si>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</si>
  <si>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</si>
  <si>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</si>
  <si>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</si>
  <si>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</si>
  <si>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</si>
  <si>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</si>
  <si>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</si>
  <si>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</si>
  <si>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</si>
  <si>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</si>
  <si>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</si>
  <si>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</si>
  <si>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</si>
  <si>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</si>
  <si>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</si>
  <si>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</si>
  <si>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</si>
  <si>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</si>
  <si>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</si>
  <si>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</si>
  <si>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</si>
  <si>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</si>
  <si>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</si>
  <si>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</si>
  <si>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</si>
  <si>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</si>
  <si>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</si>
  <si>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</si>
  <si>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</si>
  <si>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</si>
  <si>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</si>
  <si>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</si>
  <si>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</si>
  <si>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</si>
  <si>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</si>
  <si>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</si>
  <si>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</si>
  <si>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</si>
  <si>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</si>
  <si>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</si>
  <si>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</si>
  <si>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</si>
  <si>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</si>
  <si>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</si>
  <si>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</si>
  <si>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</si>
  <si>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</si>
  <si>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</si>
  <si>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</si>
  <si>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</si>
  <si>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</si>
  <si>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</si>
  <si>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</si>
  <si>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</si>
  <si>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</si>
  <si>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</si>
  <si>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</si>
  <si>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</si>
  <si>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</si>
  <si>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</si>
  <si>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</si>
  <si>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</si>
  <si>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</si>
  <si>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</si>
  <si>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</si>
  <si>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</si>
  <si>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</si>
  <si>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</si>
  <si>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</si>
  <si>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</si>
  <si>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</si>
  <si>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</si>
  <si>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</si>
  <si>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</si>
  <si>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</si>
  <si>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</si>
  <si>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</si>
  <si>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</si>
  <si>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</si>
  <si>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</si>
  <si>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</si>
  <si>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</si>
  <si>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</si>
  <si>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</si>
  <si>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</si>
  <si>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</si>
  <si>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</si>
  <si>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</si>
  <si>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</si>
  <si>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</si>
  <si>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</si>
  <si>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</si>
  <si>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</si>
  <si>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</si>
  <si>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</si>
  <si>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</si>
  <si>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</si>
  <si>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</si>
  <si>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</si>
  <si>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</si>
  <si>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</si>
  <si>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</si>
  <si>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</si>
  <si>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</si>
  <si>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</si>
  <si>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</si>
  <si>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</si>
  <si>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</si>
  <si>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</si>
  <si>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</si>
  <si>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</si>
  <si>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</si>
  <si>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</si>
  <si>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</si>
  <si>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</si>
  <si>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</si>
  <si>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</si>
  <si>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</si>
  <si>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</si>
  <si>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</si>
  <si>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</si>
  <si>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</si>
  <si>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</si>
  <si>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</si>
  <si>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</si>
  <si>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</si>
  <si>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</si>
  <si>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</si>
  <si>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</si>
  <si>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</si>
  <si>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</si>
  <si>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</si>
  <si>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</si>
  <si>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</si>
  <si>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</si>
  <si>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</si>
  <si>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</si>
  <si>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</si>
  <si>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</si>
  <si>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</si>
  <si>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</si>
  <si>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</si>
  <si>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</si>
  <si>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</si>
  <si>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</si>
  <si>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</si>
  <si>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</si>
  <si>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</si>
  <si>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</si>
  <si>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</si>
  <si>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</si>
  <si>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</si>
  <si>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</si>
  <si>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</si>
  <si>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</si>
  <si>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</si>
  <si>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</si>
  <si>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</si>
  <si>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</si>
  <si>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</si>
  <si>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</si>
  <si>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</si>
  <si>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</si>
  <si>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</si>
  <si>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</si>
  <si>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</si>
  <si>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</si>
  <si>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</si>
  <si>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</si>
  <si>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</si>
  <si>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</si>
  <si>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</si>
  <si>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</si>
  <si>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</si>
  <si>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</si>
  <si>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</si>
  <si>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</si>
  <si>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</si>
  <si>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</si>
  <si>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</si>
  <si>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</si>
  <si>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</si>
  <si>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</si>
  <si>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</si>
  <si>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</si>
  <si>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</si>
  <si>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</si>
  <si>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</si>
  <si>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</si>
  <si>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</si>
  <si>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</si>
  <si>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</si>
  <si>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</si>
  <si>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</si>
  <si>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</si>
  <si>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</si>
  <si>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</si>
  <si>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</si>
  <si>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</si>
  <si>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</si>
  <si>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</si>
  <si>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</si>
  <si>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</si>
  <si>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</si>
  <si>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</si>
  <si>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</si>
  <si>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</si>
  <si>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</si>
  <si>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</si>
  <si>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</si>
  <si>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</si>
  <si>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</si>
  <si>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</si>
  <si>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</si>
  <si>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</si>
  <si>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</si>
  <si>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</si>
  <si>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</si>
  <si>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</si>
  <si>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</si>
  <si>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</si>
  <si>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</si>
  <si>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</si>
  <si>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</si>
  <si>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</si>
  <si>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</si>
  <si>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</si>
  <si>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</si>
  <si>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</si>
  <si>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</si>
  <si>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</si>
  <si>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</si>
  <si>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</si>
  <si>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</si>
  <si>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</si>
  <si>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</si>
  <si>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</si>
  <si>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</si>
  <si>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</si>
  <si>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</si>
  <si>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</si>
  <si>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</si>
  <si>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</si>
  <si>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</si>
  <si>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</si>
  <si>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</si>
  <si>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</si>
  <si>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</si>
  <si>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</si>
  <si>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</si>
  <si>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</si>
  <si>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</si>
  <si>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</si>
  <si>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</si>
  <si>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</si>
  <si>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</si>
  <si>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</si>
  <si>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</si>
  <si>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</si>
  <si>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</si>
  <si>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</si>
  <si>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</si>
  <si>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</si>
  <si>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</si>
  <si>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</si>
  <si>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</si>
  <si>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</si>
  <si>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</si>
  <si>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</si>
  <si>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</si>
  <si>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</si>
  <si>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</si>
  <si>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</si>
  <si>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</si>
  <si>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</si>
  <si>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</si>
  <si>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</si>
  <si>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</si>
  <si>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</si>
  <si>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</si>
  <si>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</si>
  <si>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</si>
  <si>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</si>
  <si>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</si>
  <si>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</si>
  <si>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</si>
  <si>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</si>
  <si>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</si>
  <si>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</si>
  <si>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</si>
  <si>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</si>
  <si>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</si>
  <si>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</si>
  <si>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</si>
  <si>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</si>
  <si>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</si>
  <si>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</si>
  <si>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</si>
  <si>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</si>
  <si>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</si>
  <si>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</si>
  <si>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</si>
  <si>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</si>
  <si>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</si>
  <si>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</si>
  <si>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</si>
  <si>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</si>
  <si>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</si>
  <si>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</si>
  <si>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</si>
  <si>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</si>
  <si>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</si>
  <si>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</si>
  <si>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</si>
  <si>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</si>
  <si>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</si>
  <si>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</si>
  <si>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</si>
  <si>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</si>
  <si>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</si>
  <si>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</si>
  <si>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</si>
  <si>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</si>
  <si>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</si>
  <si>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</si>
  <si>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</si>
  <si>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</si>
  <si>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</si>
  <si>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</si>
  <si>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</si>
  <si>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</si>
  <si>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</si>
  <si>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</si>
  <si>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</si>
  <si>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</si>
  <si>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</si>
  <si>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</si>
  <si>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</si>
  <si>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</si>
  <si>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</si>
  <si>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</si>
  <si>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</si>
  <si>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</si>
  <si>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</si>
  <si>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</si>
  <si>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</si>
  <si>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</si>
  <si>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</si>
  <si>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</si>
  <si>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</si>
  <si>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</si>
  <si>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</si>
  <si>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</si>
  <si>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</si>
  <si>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</si>
  <si>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</si>
  <si>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</si>
  <si>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</si>
  <si>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</si>
  <si>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</si>
  <si>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</si>
  <si>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</si>
  <si>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</si>
  <si>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</si>
  <si>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</si>
  <si>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</si>
  <si>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</si>
  <si>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</si>
  <si>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</si>
  <si>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</si>
  <si>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</si>
  <si>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</si>
  <si>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</si>
  <si>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</si>
  <si>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</si>
  <si>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</si>
  <si>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</si>
  <si>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</si>
  <si>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</si>
  <si>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</si>
  <si>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</si>
  <si>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</si>
  <si>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</si>
  <si>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</si>
  <si>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</si>
  <si>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</si>
  <si>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</si>
  <si>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</si>
  <si>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</si>
  <si>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</si>
  <si>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</si>
  <si>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</si>
  <si>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</si>
  <si>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</si>
  <si>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</si>
  <si>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</si>
  <si>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</si>
  <si>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</si>
  <si>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</si>
  <si>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</si>
  <si>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</si>
  <si>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</si>
  <si>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</si>
  <si>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</si>
  <si>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</si>
  <si>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</si>
  <si>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</si>
  <si>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</si>
  <si>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</si>
  <si>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</si>
  <si>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</si>
  <si>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</si>
  <si>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</si>
  <si>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</si>
  <si>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</si>
  <si>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</si>
  <si>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</si>
  <si>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</si>
  <si>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</si>
  <si>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</si>
  <si>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</si>
  <si>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</si>
  <si>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</si>
  <si>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</si>
  <si>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</si>
  <si>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</si>
  <si>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</si>
  <si>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</si>
  <si>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</si>
  <si>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</si>
  <si>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</si>
  <si>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</si>
  <si>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</si>
  <si>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</si>
  <si>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</si>
  <si>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</si>
  <si>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</si>
  <si>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</si>
  <si>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</si>
  <si>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</si>
  <si>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</si>
  <si>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</si>
  <si>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</si>
  <si>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</si>
  <si>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</si>
  <si>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</si>
  <si>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</si>
  <si>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</si>
  <si>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</si>
  <si>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</si>
  <si>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</si>
  <si>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</si>
  <si>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</si>
  <si>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</si>
  <si>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</si>
  <si>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</si>
  <si>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</si>
  <si>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</si>
  <si>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</si>
  <si>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</si>
  <si>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</si>
  <si>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</si>
  <si>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</si>
  <si>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</si>
  <si>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</si>
  <si>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</si>
  <si>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</si>
  <si>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</si>
  <si>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</si>
  <si>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</si>
  <si>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</si>
  <si>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</si>
  <si>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</si>
  <si>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</si>
  <si>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</si>
  <si>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</si>
  <si>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</si>
  <si>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</si>
  <si>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</si>
  <si>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</si>
  <si>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</si>
  <si>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</si>
  <si>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</si>
  <si>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</si>
  <si>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</si>
  <si>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</si>
  <si>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</si>
  <si>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</si>
  <si>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</si>
  <si>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</si>
  <si>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</si>
  <si>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</si>
  <si>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</si>
  <si>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</si>
  <si>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</si>
  <si>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</si>
  <si>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</si>
  <si>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</si>
  <si>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</si>
  <si>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</si>
  <si>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</si>
  <si>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</si>
  <si>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</si>
  <si>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</si>
  <si>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</si>
  <si>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</si>
  <si>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</si>
  <si>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</si>
  <si>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</si>
  <si>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</si>
  <si>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</si>
  <si>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</si>
  <si>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</si>
  <si>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</si>
  <si>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</si>
  <si>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</si>
  <si>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</si>
  <si>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</si>
  <si>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</si>
  <si>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</si>
  <si>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</si>
  <si>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</si>
  <si>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</si>
  <si>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</si>
  <si>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</si>
  <si>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</si>
  <si>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</si>
  <si>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</si>
  <si>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</si>
  <si>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</si>
  <si>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</si>
  <si>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</si>
  <si>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</si>
  <si>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</si>
  <si>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</si>
  <si>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</si>
  <si>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</si>
  <si>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</si>
  <si>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</si>
  <si>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</si>
  <si>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</si>
  <si>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</si>
  <si>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</si>
  <si>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</si>
  <si>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</si>
  <si>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</si>
  <si>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</si>
  <si>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</si>
  <si>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</si>
  <si>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</si>
  <si>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</si>
  <si>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</si>
  <si>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</si>
  <si>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</si>
  <si>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</si>
  <si>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</si>
  <si>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</si>
  <si>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</si>
  <si>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</si>
  <si>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</si>
  <si>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</si>
  <si>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</si>
  <si>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</si>
  <si>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</si>
  <si>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</si>
  <si>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</si>
  <si>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</si>
  <si>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</si>
  <si>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</si>
  <si>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</si>
  <si>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</si>
  <si>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</si>
  <si>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</si>
  <si>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</si>
  <si>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</si>
  <si>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</si>
  <si>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</si>
  <si>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</si>
  <si>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</si>
  <si>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</si>
  <si>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</si>
  <si>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</si>
  <si>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</si>
  <si>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</si>
  <si>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</si>
  <si>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</si>
  <si>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</si>
  <si>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</si>
  <si>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</si>
  <si>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</si>
  <si>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</si>
  <si>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</si>
  <si>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</si>
  <si>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</si>
  <si>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</si>
  <si>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</si>
  <si>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</si>
  <si>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</si>
  <si>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</si>
  <si>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</si>
  <si>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</si>
  <si>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</si>
  <si>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</si>
  <si>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</si>
  <si>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</si>
  <si>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</si>
  <si>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</si>
  <si>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</si>
  <si>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</si>
  <si>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</si>
  <si>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</si>
  <si>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</si>
  <si>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</si>
  <si>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</si>
  <si>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</si>
  <si>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</si>
  <si>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</si>
  <si>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</si>
  <si>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</si>
  <si>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</si>
  <si>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</si>
  <si>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</si>
  <si>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</si>
  <si>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</si>
  <si>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</si>
  <si>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</si>
  <si>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</si>
  <si>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</si>
  <si>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</si>
  <si>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</si>
  <si>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</si>
  <si>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</si>
  <si>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</si>
  <si>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</si>
  <si>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</si>
  <si>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</si>
  <si>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</si>
  <si>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</si>
  <si>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</si>
  <si>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</si>
  <si>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</si>
  <si>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</si>
  <si>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</si>
  <si>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</si>
  <si>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</si>
  <si>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</si>
  <si>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</si>
  <si>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</si>
  <si>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</si>
  <si>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</si>
  <si>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</si>
  <si>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</si>
  <si>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</si>
  <si>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</si>
  <si>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</si>
  <si>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</si>
  <si>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</si>
  <si>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</si>
  <si>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</si>
  <si>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</si>
  <si>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</si>
  <si>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</si>
  <si>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</si>
  <si>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</si>
  <si>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</si>
  <si>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</si>
  <si>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</si>
  <si>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</si>
  <si>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</si>
  <si>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</si>
  <si>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</si>
  <si>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</si>
  <si>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</si>
  <si>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</si>
  <si>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</si>
  <si>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</si>
  <si>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</si>
  <si>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</si>
  <si>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</si>
  <si>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</si>
  <si>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</si>
  <si>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</si>
  <si>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</si>
  <si>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</si>
  <si>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</si>
  <si>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</si>
  <si>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</si>
  <si>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</si>
  <si>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</si>
  <si>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</si>
  <si>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</si>
  <si>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</si>
  <si>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</si>
  <si>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</si>
  <si>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</si>
  <si>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</si>
  <si>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</si>
  <si>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</si>
  <si>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</si>
  <si>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</si>
  <si>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</si>
  <si>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</si>
  <si>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</si>
  <si>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</si>
  <si>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</si>
  <si>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</si>
  <si>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</si>
  <si>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</si>
  <si>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</si>
  <si>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</si>
  <si>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</si>
  <si>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</si>
  <si>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</si>
  <si>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</si>
  <si>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</si>
  <si>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</si>
  <si>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</si>
  <si>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</si>
  <si>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</si>
  <si>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</si>
  <si>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</si>
  <si>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</si>
  <si>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</si>
  <si>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</si>
  <si>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</si>
  <si>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</si>
  <si>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</si>
  <si>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</si>
  <si>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</si>
  <si>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</si>
  <si>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</si>
  <si>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</si>
  <si>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</si>
  <si>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</si>
  <si>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</si>
  <si>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</si>
  <si>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</si>
  <si>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</si>
  <si>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</si>
  <si>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</si>
  <si>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</si>
  <si>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</si>
  <si>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</si>
  <si>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</si>
  <si>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</si>
  <si>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</si>
  <si>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</si>
  <si>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</si>
  <si>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</si>
  <si>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</si>
  <si>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</si>
  <si>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</si>
  <si>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</si>
  <si>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</si>
  <si>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</si>
  <si>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</si>
  <si>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</si>
  <si>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</si>
  <si>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</si>
  <si>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</si>
  <si>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</si>
  <si>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</si>
  <si>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</si>
  <si>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</si>
  <si>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</si>
  <si>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</si>
  <si>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</si>
  <si>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</si>
  <si>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</si>
  <si>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</si>
  <si>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</si>
  <si>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</si>
  <si>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</si>
  <si>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</si>
  <si>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</si>
  <si>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</si>
  <si>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</si>
  <si>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</si>
  <si>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</si>
  <si>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</si>
  <si>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</si>
  <si>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</si>
  <si>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</si>
  <si>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</si>
  <si>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</si>
  <si>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</si>
  <si>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</si>
  <si>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</si>
  <si>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</si>
  <si>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</si>
  <si>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</si>
  <si>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</si>
  <si>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</si>
  <si>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</si>
  <si>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</si>
  <si>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</si>
  <si>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</si>
  <si>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</si>
  <si>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</si>
  <si>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</si>
  <si>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</si>
  <si>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</si>
  <si>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</si>
  <si>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</si>
  <si>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</si>
  <si>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</si>
  <si>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</si>
  <si>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</si>
  <si>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</si>
  <si>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</si>
  <si>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</si>
  <si>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</si>
  <si>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</si>
  <si>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</si>
  <si>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</si>
  <si>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</si>
  <si>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</si>
  <si>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</si>
  <si>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</si>
  <si>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</si>
  <si>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</si>
  <si>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</si>
  <si>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</si>
  <si>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</si>
  <si>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</si>
  <si>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</si>
  <si>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</si>
  <si>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</si>
  <si>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</si>
  <si>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</si>
  <si>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</si>
  <si>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</si>
  <si>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</si>
  <si>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</si>
  <si>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</si>
  <si>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</si>
  <si>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</si>
  <si>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</si>
  <si>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</si>
  <si>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</si>
  <si>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</si>
  <si>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</si>
  <si>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</si>
  <si>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</si>
  <si>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</si>
  <si>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</si>
  <si>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</si>
  <si>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</si>
  <si>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</si>
  <si>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</si>
  <si>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</si>
  <si>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</si>
  <si>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</si>
  <si>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</si>
  <si>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</si>
  <si>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</si>
  <si>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</si>
  <si>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</si>
  <si>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</si>
  <si>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</si>
  <si>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</si>
  <si>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</si>
  <si>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</si>
  <si>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</si>
  <si>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</si>
  <si>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</si>
  <si>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</si>
  <si>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</si>
  <si>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</si>
  <si>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</si>
  <si>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</si>
  <si>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</si>
  <si>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</si>
  <si>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</si>
  <si>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</si>
  <si>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</si>
  <si>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</si>
  <si>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</si>
  <si>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</si>
  <si>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</si>
  <si>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</si>
  <si>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</si>
  <si>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</si>
  <si>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</si>
  <si>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</si>
  <si>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</si>
  <si>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</si>
  <si>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</si>
  <si>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</si>
  <si>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</si>
  <si>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</si>
  <si>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</si>
  <si>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</si>
  <si>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</si>
  <si>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</si>
  <si>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</si>
  <si>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</si>
  <si>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</si>
  <si>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</si>
  <si>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</si>
  <si>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</si>
  <si>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</si>
  <si>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</si>
  <si>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</si>
  <si>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</si>
  <si>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</si>
  <si>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</si>
  <si>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</si>
  <si>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</si>
  <si>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</si>
  <si>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</si>
  <si>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</si>
  <si>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</si>
  <si>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</si>
  <si>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</si>
  <si>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</si>
  <si>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</si>
  <si>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</si>
  <si>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</si>
  <si>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</si>
  <si>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</si>
  <si>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</si>
  <si>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</si>
  <si>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</si>
  <si>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</si>
  <si>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</si>
  <si>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</si>
  <si>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</si>
  <si>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</si>
  <si>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</si>
  <si>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</si>
  <si>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</si>
  <si>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</si>
  <si>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</si>
  <si>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</si>
  <si>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</si>
  <si>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</si>
  <si>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</si>
  <si>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</si>
  <si>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</si>
  <si>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</si>
  <si>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</si>
  <si>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</si>
  <si>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</si>
  <si>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</si>
  <si>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</si>
  <si>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</si>
  <si>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</si>
  <si>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</si>
  <si>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</si>
  <si>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</si>
  <si>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</si>
  <si>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</si>
  <si>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</si>
  <si>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</si>
  <si>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</si>
  <si>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</si>
  <si>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</si>
  <si>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</si>
  <si>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</si>
  <si>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</si>
  <si>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</si>
  <si>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</si>
  <si>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</si>
  <si>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</si>
  <si>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</si>
  <si>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</si>
  <si>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</si>
  <si>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</si>
  <si>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</si>
  <si>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</si>
  <si>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</si>
  <si>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</si>
  <si>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</si>
  <si>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</si>
  <si>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</si>
  <si>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</si>
  <si>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</si>
  <si>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</si>
  <si>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</si>
  <si>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</si>
  <si>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</si>
  <si>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</si>
  <si>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</si>
  <si>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</si>
  <si>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</si>
  <si>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</si>
  <si>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</si>
  <si>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</si>
  <si>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</si>
  <si>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</si>
  <si>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</si>
  <si>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</si>
  <si>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</si>
  <si>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</si>
  <si>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</si>
  <si>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</si>
  <si>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</si>
  <si>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</si>
  <si>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</si>
  <si>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</si>
  <si>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</si>
  <si>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</si>
  <si>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</si>
  <si>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</si>
  <si>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</si>
  <si>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</si>
  <si>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</si>
  <si>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</si>
  <si>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</si>
  <si>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</si>
  <si>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</si>
  <si>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</si>
  <si>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</si>
  <si>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</si>
  <si>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</si>
  <si>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</si>
  <si>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</si>
  <si>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</si>
  <si>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</si>
  <si>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</si>
  <si>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</si>
  <si>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</si>
  <si>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</si>
  <si>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</si>
  <si>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</si>
  <si>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</si>
  <si>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</si>
  <si>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Low fat</t>
  </si>
  <si>
    <t>Sum of Sales</t>
  </si>
  <si>
    <t>Sr.no</t>
  </si>
  <si>
    <t>Number of Items</t>
  </si>
  <si>
    <t>Average Sales</t>
  </si>
  <si>
    <t>Average Rating</t>
  </si>
  <si>
    <t xml:space="preserve"> </t>
  </si>
  <si>
    <t>Total Sales</t>
  </si>
  <si>
    <t>Total Quantity</t>
  </si>
  <si>
    <r>
      <rPr>
        <b/>
        <sz val="12"/>
        <color theme="1"/>
        <rFont val="Calibri"/>
        <family val="2"/>
        <scheme val="minor"/>
      </rPr>
      <t xml:space="preserve">                                  KPI</t>
    </r>
    <r>
      <rPr>
        <sz val="12"/>
        <color theme="1"/>
        <rFont val="Calibri"/>
        <family val="2"/>
        <scheme val="minor"/>
      </rPr>
      <t xml:space="preserve">  </t>
    </r>
    <r>
      <rPr>
        <b/>
        <sz val="12"/>
        <color theme="1"/>
        <rFont val="Calibri"/>
        <family val="2"/>
        <scheme val="minor"/>
      </rPr>
      <t>REQUIREMENT</t>
    </r>
  </si>
  <si>
    <t xml:space="preserve">  </t>
  </si>
  <si>
    <t>Row Labels</t>
  </si>
  <si>
    <t>Total sales by Fat Content</t>
  </si>
  <si>
    <t>Total Sales by Item Type</t>
  </si>
  <si>
    <t>Column Labels</t>
  </si>
  <si>
    <t>Total Sales By outlet Establishment</t>
  </si>
  <si>
    <t>Sales By Outlet Size</t>
  </si>
  <si>
    <t>Outlet Location</t>
  </si>
  <si>
    <t>Sales By Outlet Location</t>
  </si>
  <si>
    <t>Average of Sales</t>
  </si>
  <si>
    <t>Count of Sr.no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</si>
</sst>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quot;M&quot;"/>
    <numFmt numFmtId="166" formatCode="\$0.00,,&quot;M&quot;"/>
    <numFmt numFmtId="167" formatCode="\$0.00,&quot;K&quot;"/>
    <numFmt numFmtId="168" formatCode="\$0"/>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rgb="FF000000"/>
      <name val="Segoe UI Black"/>
      <family val="2"/>
    </font>
    <font>
      <b/>
      <sz val="40"/>
      <color rgb="FF000000"/>
      <name val="Segoe UI Black"/>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D200"/>
        <bgColor indexed="64"/>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1">
    <xf numFmtId="0" fontId="0" fillId="0" borderId="0" xfId="0"/>
    <xf numFmtId="0" fontId="19" fillId="0" borderId="0" xfId="0" applyFont="1"/>
    <xf numFmtId="0" fontId="18" fillId="0" borderId="0" xfId="0" applyFont="1" applyAlignment="1">
      <alignment horizontal="center" vertical="center"/>
    </xf>
    <xf numFmtId="0" fontId="0" fillId="0" borderId="10" xfId="0" applyBorder="1"/>
    <xf numFmtId="0" fontId="0" fillId="0" borderId="11" xfId="0" applyBorder="1"/>
    <xf numFmtId="0" fontId="16" fillId="0" borderId="10" xfId="0" applyFont="1" applyBorder="1"/>
    <xf numFmtId="0" fontId="16" fillId="0" borderId="0" xfId="0" applyFont="1"/>
    <xf numFmtId="0" fontId="16" fillId="0" borderId="11" xfId="0" applyFont="1" applyBorder="1"/>
    <xf numFmtId="0" fontId="0" fillId="0" borderId="13" xfId="0" applyBorder="1"/>
    <xf numFmtId="164" fontId="0" fillId="0" borderId="14" xfId="0" applyNumberFormat="1" applyBorder="1"/>
    <xf numFmtId="0" fontId="0" fillId="33" borderId="0" xfId="0" applyFill="1" applyAlignment="1">
      <alignment horizontal="left"/>
    </xf>
    <xf numFmtId="0" fontId="0" fillId="33" borderId="0" xfId="0" applyFill="1"/>
    <xf numFmtId="165" fontId="0" fillId="0" borderId="13" xfId="0" applyNumberFormat="1" applyBorder="1"/>
    <xf numFmtId="0" fontId="0" fillId="0" borderId="15" xfId="0" applyBorder="1"/>
    <xf numFmtId="0" fontId="0" fillId="0" borderId="16" xfId="0" applyBorder="1"/>
    <xf numFmtId="0" fontId="0" fillId="0" borderId="17" xfId="0" applyBorder="1"/>
    <xf numFmtId="166" fontId="0" fillId="0" borderId="12" xfId="0" applyNumberFormat="1" applyBorder="1"/>
    <xf numFmtId="0" fontId="0" fillId="0" borderId="20" xfId="0" applyBorder="1"/>
    <xf numFmtId="0" fontId="0" fillId="0" borderId="18" xfId="0" pivotButton="1" applyBorder="1"/>
    <xf numFmtId="0" fontId="0" fillId="0" borderId="10" xfId="0" applyBorder="1" applyAlignment="1">
      <alignment horizontal="left"/>
    </xf>
    <xf numFmtId="0" fontId="0" fillId="0" borderId="12" xfId="0" applyBorder="1" applyAlignment="1">
      <alignment horizontal="left"/>
    </xf>
    <xf numFmtId="167" fontId="0" fillId="0" borderId="21" xfId="0" applyNumberFormat="1" applyBorder="1"/>
    <xf numFmtId="167" fontId="0" fillId="0" borderId="22" xfId="0" applyNumberFormat="1" applyBorder="1"/>
    <xf numFmtId="167" fontId="0" fillId="0" borderId="11" xfId="0" applyNumberFormat="1" applyBorder="1"/>
    <xf numFmtId="167" fontId="0" fillId="0" borderId="14" xfId="0" applyNumberFormat="1" applyBorder="1"/>
    <xf numFmtId="0" fontId="0" fillId="0" borderId="19" xfId="0" pivotButton="1" applyBorder="1"/>
    <xf numFmtId="0" fontId="0" fillId="0" borderId="10" xfId="0" pivotButton="1" applyBorder="1"/>
    <xf numFmtId="167" fontId="0" fillId="0" borderId="18" xfId="0" applyNumberFormat="1" applyBorder="1"/>
    <xf numFmtId="167" fontId="0" fillId="0" borderId="20" xfId="0" applyNumberFormat="1" applyBorder="1"/>
    <xf numFmtId="167" fontId="0" fillId="0" borderId="10" xfId="0" applyNumberFormat="1" applyBorder="1"/>
    <xf numFmtId="167" fontId="0" fillId="0" borderId="12" xfId="0" applyNumberFormat="1" applyBorder="1"/>
    <xf numFmtId="0" fontId="0" fillId="0" borderId="19" xfId="0" applyBorder="1"/>
    <xf numFmtId="167" fontId="0" fillId="0" borderId="24" xfId="0" applyNumberFormat="1" applyBorder="1"/>
    <xf numFmtId="167" fontId="0" fillId="0" borderId="0" xfId="0" applyNumberFormat="1"/>
    <xf numFmtId="0" fontId="0" fillId="0" borderId="12" xfId="0" applyBorder="1"/>
    <xf numFmtId="0" fontId="0" fillId="0" borderId="14" xfId="0" applyBorder="1"/>
    <xf numFmtId="0" fontId="0" fillId="0" borderId="23" xfId="0" applyBorder="1"/>
    <xf numFmtId="0" fontId="0" fillId="0" borderId="23" xfId="0" pivotButton="1" applyBorder="1"/>
    <xf numFmtId="168" fontId="0" fillId="0" borderId="21" xfId="0" applyNumberFormat="1" applyBorder="1"/>
    <xf numFmtId="168" fontId="0" fillId="0" borderId="24" xfId="0" applyNumberFormat="1" applyBorder="1"/>
    <xf numFmtId="168" fontId="0" fillId="0" borderId="22" xfId="0" applyNumberFormat="1" applyBorder="1"/>
    <xf numFmtId="0" fontId="0" fillId="0" borderId="21" xfId="0" applyBorder="1" applyAlignment="1">
      <alignment horizontal="left"/>
    </xf>
    <xf numFmtId="0" fontId="0" fillId="0" borderId="24" xfId="0" applyBorder="1" applyAlignment="1">
      <alignment horizontal="left"/>
    </xf>
    <xf numFmtId="0" fontId="0" fillId="0" borderId="22" xfId="0" applyBorder="1" applyAlignment="1">
      <alignment horizontal="left"/>
    </xf>
    <xf numFmtId="1" fontId="0" fillId="0" borderId="24" xfId="0" applyNumberFormat="1" applyBorder="1"/>
    <xf numFmtId="1" fontId="0" fillId="0" borderId="21" xfId="0" applyNumberFormat="1" applyBorder="1"/>
    <xf numFmtId="1" fontId="0" fillId="0" borderId="22" xfId="0" applyNumberFormat="1" applyBorder="1"/>
    <xf numFmtId="0" fontId="0" fillId="34" borderId="13" xfId="0" applyFill="1" applyBorder="1" applyAlignment="1">
      <alignment horizontal="center"/>
    </xf>
    <xf numFmtId="0" fontId="0" fillId="34" borderId="0" xfId="0" applyFill="1" applyAlignment="1">
      <alignment horizontal="center"/>
    </xf>
    <xf numFmtId="0" fontId="0" fillId="34" borderId="18" xfId="0" applyFill="1" applyBorder="1" applyAlignment="1">
      <alignment horizontal="center"/>
    </xf>
    <xf numFmtId="0" fontId="0" fillId="34" borderId="19"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0">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colors>
    <mruColors>
      <color rgb="FFFFD200"/>
      <color rgb="FFFAFAFA"/>
      <color rgb="FFD09E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[Blinkit-Sales-Dashboard(Excel).xlsx]Sheet2!PivotTable2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Sheet2!$B$11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64-425E-A8C2-A4784280F5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64-425E-A8C2-A4784280F5E2}"/>
              </c:ext>
            </c:extLst>
          </c:dPt>
          <c:cat>
            <c:strRef>
              <c:f>Sheet2!$A$12:$A$13</c:f>
              <c:strCache>
                <c:ptCount val="2"/>
                <c:pt idx="0">
                  <c:v>Low Fat</c:v>
                </c:pt>
                <c:pt idx="1">
                  <c:v>Regular</c:v>
                </c:pt>
              </c:strCache>
            </c:strRef>
          </c:cat>
          <c:val>
            <c:numRef>
              <c:f>Sheet2!$B$12:$B$13</c:f>
              <c:numCache>
                <c:formatCode>\$0.00,"K"</c:formatCode>
                <c:ptCount val="2"/>
                <c:pt idx="0">
                  <c:v>776319.68840000057</c:v>
                </c:pt>
                <c:pt idx="1">
                  <c:v>425361.8043999995</c:v>
                </c:pt>
              </c:numCache>
            </c:numRef>
          </c:val>
          <c:extLst>
            <c:ext xmlns:c16="http://schemas.microsoft.com/office/drawing/2014/chart" uri="{C3380CC4-5D6E-409C-BE32-E72D297353CC}">
              <c16:uniqueId val="{00000000-CA98-476B-9CC5-8D307808E6C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[Blinkit-Sales-Dashboard(Excel).xlsx]Sheet2!PivotTable3</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Sheet2!$B$18:$B$19</c:f>
              <c:strCache>
                <c:ptCount val="1"/>
                <c:pt idx="0">
                  <c:v>Regular</c:v>
                </c:pt>
              </c:strCache>
            </c:strRef>
          </c:tx>
          <c:spPr>
            <a:solidFill>
              <a:schemeClr val="accent1"/>
            </a:solidFill>
            <a:ln>
              <a:noFill/>
            </a:ln>
            <a:effectLst/>
          </c:spPr>
          <c:invertIfNegative val="0"/>
          <c:cat>
            <c:strRef>
              <c:f>Sheet2!$A$20:$A$22</c:f>
              <c:strCache>
                <c:ptCount val="3"/>
                <c:pt idx="0">
                  <c:v>Tier 1</c:v>
                </c:pt>
                <c:pt idx="1">
                  <c:v>Tier 2</c:v>
                </c:pt>
                <c:pt idx="2">
                  <c:v>Tier 3</c:v>
                </c:pt>
              </c:strCache>
            </c:strRef>
          </c:cat>
          <c:val>
            <c:numRef>
              <c:f>Sheet2!$B$20:$B$22</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90A5-4F36-8451-0A4C3A407B87}"/>
            </c:ext>
          </c:extLst>
        </c:ser>
        <c:ser>
          <c:idx val="1"/>
          <c:order val="1"/>
          <c:tx>
            <c:strRef>
              <c:f>Sheet2!$C$18:$C$19</c:f>
              <c:strCache>
                <c:ptCount val="1"/>
                <c:pt idx="0">
                  <c:v>Low Fat</c:v>
                </c:pt>
              </c:strCache>
            </c:strRef>
          </c:tx>
          <c:spPr>
            <a:solidFill>
              <a:schemeClr val="accent2"/>
            </a:solidFill>
            <a:ln>
              <a:noFill/>
            </a:ln>
            <a:effectLst/>
          </c:spPr>
          <c:invertIfNegative val="0"/>
          <c:cat>
            <c:strRef>
              <c:f>Sheet2!$A$20:$A$22</c:f>
              <c:strCache>
                <c:ptCount val="3"/>
                <c:pt idx="0">
                  <c:v>Tier 1</c:v>
                </c:pt>
                <c:pt idx="1">
                  <c:v>Tier 2</c:v>
                </c:pt>
                <c:pt idx="2">
                  <c:v>Tier 3</c:v>
                </c:pt>
              </c:strCache>
            </c:strRef>
          </c:cat>
          <c:val>
            <c:numRef>
              <c:f>Sheet2!$C$20:$C$22</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90A5-4F36-8451-0A4C3A407B87}"/>
            </c:ext>
          </c:extLst>
        </c:ser>
        <c:dLbls>
          <c:showLegendKey val="0"/>
          <c:showVal val="0"/>
          <c:showCatName val="0"/>
          <c:showSerName val="0"/>
          <c:showPercent val="0"/>
          <c:showBubbleSize val="0"/>
        </c:dLbls>
        <c:gapWidth val="182"/>
        <c:axId val="1879103935"/>
        <c:axId val="1879113535"/>
      </c:barChart>
      <c:catAx>
        <c:axId val="1879103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113535"/>
        <c:crosses val="autoZero"/>
        <c:auto val="1"/>
        <c:lblAlgn val="ctr"/>
        <c:lblOffset val="100"/>
        <c:noMultiLvlLbl val="0"/>
      </c:catAx>
      <c:valAx>
        <c:axId val="1879113535"/>
        <c:scaling>
          <c:orientation val="minMax"/>
        </c:scaling>
        <c:delete val="1"/>
        <c:axPos val="b"/>
        <c:numFmt formatCode="\$0.00,&quot;K&quot;" sourceLinked="1"/>
        <c:majorTickMark val="none"/>
        <c:minorTickMark val="none"/>
        <c:tickLblPos val="nextTo"/>
        <c:crossAx val="1879103935"/>
        <c:crosses val="autoZero"/>
        <c:crossBetween val="between"/>
      </c:valAx>
      <c:spPr>
        <a:noFill/>
        <a:ln>
          <a:noFill/>
        </a:ln>
        <a:effectLst/>
      </c:spPr>
    </c:plotArea>
    <c:legend>
      <c:legendPos val="t"/>
      <c:layout>
        <c:manualLayout>
          <c:xMode val="edge"/>
          <c:yMode val="edge"/>
          <c:x val="0.23796506030353512"/>
          <c:y val="0.14942528735632185"/>
          <c:w val="0.41752457883403843"/>
          <c:h val="4.45415874739795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[Blinkit-Sales-Dashboard(Excel).xlsx]Sheet2!PivotTable4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33999456964431"/>
          <c:y val="7.7260072676412925E-2"/>
          <c:w val="0.55142764051045345"/>
          <c:h val="0.87633501967397409"/>
        </c:manualLayout>
      </c:layout>
      <c:barChart>
        <c:barDir val="bar"/>
        <c:grouping val="clustered"/>
        <c:varyColors val="0"/>
        <c:ser>
          <c:idx val="0"/>
          <c:order val="0"/>
          <c:tx>
            <c:strRef>
              <c:f>Sheet2!$B$29</c:f>
              <c:strCache>
                <c:ptCount val="1"/>
                <c:pt idx="0">
                  <c:v>Total</c:v>
                </c:pt>
              </c:strCache>
            </c:strRef>
          </c:tx>
          <c:spPr>
            <a:solidFill>
              <a:schemeClr val="accent1"/>
            </a:solidFill>
            <a:ln>
              <a:noFill/>
            </a:ln>
            <a:effectLst/>
          </c:spPr>
          <c:invertIfNegative val="0"/>
          <c:cat>
            <c:strRef>
              <c:f>Sheet2!$A$30:$A$45</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Sheet2!$B$30:$B$45</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B6CC-4716-8140-0C2831D0115A}"/>
            </c:ext>
          </c:extLst>
        </c:ser>
        <c:dLbls>
          <c:showLegendKey val="0"/>
          <c:showVal val="0"/>
          <c:showCatName val="0"/>
          <c:showSerName val="0"/>
          <c:showPercent val="0"/>
          <c:showBubbleSize val="0"/>
        </c:dLbls>
        <c:gapWidth val="182"/>
        <c:axId val="1837443744"/>
        <c:axId val="1837443264"/>
      </c:barChart>
      <c:catAx>
        <c:axId val="1837443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443264"/>
        <c:crosses val="autoZero"/>
        <c:auto val="1"/>
        <c:lblAlgn val="ctr"/>
        <c:lblOffset val="100"/>
        <c:noMultiLvlLbl val="0"/>
      </c:catAx>
      <c:valAx>
        <c:axId val="1837443264"/>
        <c:scaling>
          <c:orientation val="minMax"/>
        </c:scaling>
        <c:delete val="1"/>
        <c:axPos val="b"/>
        <c:numFmt formatCode="\$0.00,&quot;K&quot;" sourceLinked="1"/>
        <c:majorTickMark val="none"/>
        <c:minorTickMark val="none"/>
        <c:tickLblPos val="nextTo"/>
        <c:crossAx val="1837443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[Blinkit-Sales-Dashboard(Excel).xlsx]Sheet2!PivotTable5</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Sheet2!$B$50</c:f>
              <c:strCache>
                <c:ptCount val="1"/>
                <c:pt idx="0">
                  <c:v>Total</c:v>
                </c:pt>
              </c:strCache>
            </c:strRef>
          </c:tx>
          <c:spPr>
            <a:solidFill>
              <a:schemeClr val="accent1"/>
            </a:solidFill>
            <a:ln>
              <a:noFill/>
            </a:ln>
            <a:effectLst/>
          </c:spPr>
          <c:cat>
            <c:strRef>
              <c:f>Sheet2!$A$51:$A$59</c:f>
              <c:strCache>
                <c:ptCount val="9"/>
                <c:pt idx="0">
                  <c:v>2011</c:v>
                </c:pt>
                <c:pt idx="1">
                  <c:v>2012</c:v>
                </c:pt>
                <c:pt idx="2">
                  <c:v>2014</c:v>
                </c:pt>
                <c:pt idx="3">
                  <c:v>2015</c:v>
                </c:pt>
                <c:pt idx="4">
                  <c:v>2016</c:v>
                </c:pt>
                <c:pt idx="5">
                  <c:v>2017</c:v>
                </c:pt>
                <c:pt idx="6">
                  <c:v>2018</c:v>
                </c:pt>
                <c:pt idx="7">
                  <c:v>2020</c:v>
                </c:pt>
                <c:pt idx="8">
                  <c:v>2022</c:v>
                </c:pt>
              </c:strCache>
            </c:strRef>
          </c:cat>
          <c:val>
            <c:numRef>
              <c:f>Sheet2!$B$51:$B$59</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4AC5-4271-AFAA-240AEE4D1F14}"/>
            </c:ext>
          </c:extLst>
        </c:ser>
        <c:dLbls>
          <c:showLegendKey val="0"/>
          <c:showVal val="0"/>
          <c:showCatName val="0"/>
          <c:showSerName val="0"/>
          <c:showPercent val="0"/>
          <c:showBubbleSize val="0"/>
        </c:dLbls>
        <c:axId val="1601346672"/>
        <c:axId val="1601347152"/>
      </c:areaChart>
      <c:catAx>
        <c:axId val="16013466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347152"/>
        <c:crosses val="autoZero"/>
        <c:auto val="1"/>
        <c:lblAlgn val="ctr"/>
        <c:lblOffset val="100"/>
        <c:noMultiLvlLbl val="0"/>
      </c:catAx>
      <c:valAx>
        <c:axId val="1601347152"/>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3466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[Blinkit-Sales-Dashboard(Excel).xlsx]Sheet2!PivotTable6</c:name>
    <c:fmtId val="2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Sheet2!$B$67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4FA-41E1-A5B7-BD6C8F5515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4FA-41E1-A5B7-BD6C8F5515A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4FA-41E1-A5B7-BD6C8F5515A7}"/>
              </c:ext>
            </c:extLst>
          </c:dPt>
          <c:cat>
            <c:strRef>
              <c:f>Sheet2!$A$68:$A$70</c:f>
              <c:strCache>
                <c:ptCount val="3"/>
                <c:pt idx="0">
                  <c:v>High</c:v>
                </c:pt>
                <c:pt idx="1">
                  <c:v>Medium</c:v>
                </c:pt>
                <c:pt idx="2">
                  <c:v>Small</c:v>
                </c:pt>
              </c:strCache>
            </c:strRef>
          </c:cat>
          <c:val>
            <c:numRef>
              <c:f>Sheet2!$B$68:$B$70</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5788-431C-8A9C-AAC8F67AE00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[Blinkit-Sales-Dashboard(Excel).xlsx]Sheet2!PivotTable8</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459536307961502"/>
          <c:y val="0.2401367016622922"/>
          <c:w val="0.37946237970253716"/>
          <c:h val="0.6293157626130067"/>
        </c:manualLayout>
      </c:layout>
      <c:barChart>
        <c:barDir val="bar"/>
        <c:grouping val="clustered"/>
        <c:varyColors val="0"/>
        <c:ser>
          <c:idx val="0"/>
          <c:order val="0"/>
          <c:tx>
            <c:strRef>
              <c:f>Sheet2!$B$96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Sheet2!$A$97:$A$100</c:f>
              <c:strCache>
                <c:ptCount val="4"/>
                <c:pt idx="0">
                  <c:v>Grocery Store</c:v>
                </c:pt>
                <c:pt idx="1">
                  <c:v>Supermarket Type3</c:v>
                </c:pt>
                <c:pt idx="2">
                  <c:v>Supermarket Type2</c:v>
                </c:pt>
                <c:pt idx="3">
                  <c:v>Supermarket Type1</c:v>
                </c:pt>
              </c:strCache>
            </c:strRef>
          </c:cat>
          <c:val>
            <c:numRef>
              <c:f>Sheet2!$B$97:$B$100</c:f>
              <c:numCache>
                <c:formatCode>\$0.00,"K"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75E7-48C9-B110-FA043009853D}"/>
            </c:ext>
          </c:extLst>
        </c:ser>
        <c:dLbls>
          <c:showLegendKey val="0"/>
          <c:showVal val="0"/>
          <c:showCatName val="0"/>
          <c:showSerName val="0"/>
          <c:showPercent val="0"/>
          <c:showBubbleSize val="0"/>
        </c:dLbls>
        <c:gapWidth val="182"/>
        <c:axId val="1673780944"/>
        <c:axId val="35222544"/>
      </c:barChart>
      <c:catAx>
        <c:axId val="1673780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22544"/>
        <c:crosses val="autoZero"/>
        <c:auto val="1"/>
        <c:lblAlgn val="ctr"/>
        <c:lblOffset val="100"/>
        <c:noMultiLvlLbl val="0"/>
      </c:catAx>
      <c:valAx>
        <c:axId val="35222544"/>
        <c:scaling>
          <c:orientation val="minMax"/>
        </c:scaling>
        <c:delete val="1"/>
        <c:axPos val="b"/>
        <c:numFmt formatCode="\$0.00,&quot;K&quot;" sourceLinked="1"/>
        <c:majorTickMark val="none"/>
        <c:minorTickMark val="none"/>
        <c:tickLblPos val="nextTo"/>
        <c:crossAx val="1673780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[Blinkit-Sales-Dashboard(Excel).xlsx]Sheet2!PivotTable9</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Sheet2!$B$105</c:f>
              <c:strCache>
                <c:ptCount val="1"/>
                <c:pt idx="0">
                  <c:v>Total</c:v>
                </c:pt>
              </c:strCache>
            </c:strRef>
          </c:tx>
          <c:spPr>
            <a:solidFill>
              <a:schemeClr val="accent1"/>
            </a:solidFill>
            <a:ln>
              <a:noFill/>
            </a:ln>
            <a:effectLst/>
          </c:spPr>
          <c:invertIfNegative val="0"/>
          <c:cat>
            <c:strRef>
              <c:f>Sheet2!$A$106:$A$109</c:f>
              <c:strCache>
                <c:ptCount val="4"/>
                <c:pt idx="0">
                  <c:v>Grocery Store</c:v>
                </c:pt>
                <c:pt idx="1">
                  <c:v>Supermarket Type3</c:v>
                </c:pt>
                <c:pt idx="2">
                  <c:v>Supermarket Type2</c:v>
                </c:pt>
                <c:pt idx="3">
                  <c:v>Supermarket Type1</c:v>
                </c:pt>
              </c:strCache>
            </c:strRef>
          </c:cat>
          <c:val>
            <c:numRef>
              <c:f>Sheet2!$B$106:$B$109</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2D25-497C-A31A-5A147E5C4AD4}"/>
            </c:ext>
          </c:extLst>
        </c:ser>
        <c:dLbls>
          <c:showLegendKey val="0"/>
          <c:showVal val="0"/>
          <c:showCatName val="0"/>
          <c:showSerName val="0"/>
          <c:showPercent val="0"/>
          <c:showBubbleSize val="0"/>
        </c:dLbls>
        <c:gapWidth val="182"/>
        <c:axId val="1897322144"/>
        <c:axId val="1897320704"/>
      </c:barChart>
      <c:catAx>
        <c:axId val="1897322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320704"/>
        <c:crosses val="autoZero"/>
        <c:auto val="1"/>
        <c:lblAlgn val="ctr"/>
        <c:lblOffset val="100"/>
        <c:noMultiLvlLbl val="0"/>
      </c:catAx>
      <c:valAx>
        <c:axId val="1897320704"/>
        <c:scaling>
          <c:orientation val="minMax"/>
        </c:scaling>
        <c:delete val="1"/>
        <c:axPos val="b"/>
        <c:numFmt formatCode="\$0" sourceLinked="1"/>
        <c:majorTickMark val="none"/>
        <c:minorTickMark val="none"/>
        <c:tickLblPos val="nextTo"/>
        <c:crossAx val="1897322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[Blinkit-Sales-Dashboard(Excel).xlsx]Sheet2!PivotTable10</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Sheet2!$B$115</c:f>
              <c:strCache>
                <c:ptCount val="1"/>
                <c:pt idx="0">
                  <c:v>Total</c:v>
                </c:pt>
              </c:strCache>
            </c:strRef>
          </c:tx>
          <c:spPr>
            <a:solidFill>
              <a:schemeClr val="accent1"/>
            </a:solidFill>
            <a:ln>
              <a:noFill/>
            </a:ln>
            <a:effectLst/>
          </c:spPr>
          <c:invertIfNegative val="0"/>
          <c:cat>
            <c:strRef>
              <c:f>Sheet2!$A$116:$A$119</c:f>
              <c:strCache>
                <c:ptCount val="4"/>
                <c:pt idx="0">
                  <c:v>Grocery Store</c:v>
                </c:pt>
                <c:pt idx="1">
                  <c:v>Supermarket Type3</c:v>
                </c:pt>
                <c:pt idx="2">
                  <c:v>Supermarket Type2</c:v>
                </c:pt>
                <c:pt idx="3">
                  <c:v>Supermarket Type1</c:v>
                </c:pt>
              </c:strCache>
            </c:strRef>
          </c:cat>
          <c:val>
            <c:numRef>
              <c:f>Sheet2!$B$116:$B$119</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E053-437F-B718-B432CD18F960}"/>
            </c:ext>
          </c:extLst>
        </c:ser>
        <c:dLbls>
          <c:showLegendKey val="0"/>
          <c:showVal val="0"/>
          <c:showCatName val="0"/>
          <c:showSerName val="0"/>
          <c:showPercent val="0"/>
          <c:showBubbleSize val="0"/>
        </c:dLbls>
        <c:gapWidth val="182"/>
        <c:axId val="34670288"/>
        <c:axId val="34670768"/>
      </c:barChart>
      <c:catAx>
        <c:axId val="34670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70768"/>
        <c:crosses val="autoZero"/>
        <c:auto val="1"/>
        <c:lblAlgn val="ctr"/>
        <c:lblOffset val="100"/>
        <c:noMultiLvlLbl val="0"/>
      </c:catAx>
      <c:valAx>
        <c:axId val="34670768"/>
        <c:scaling>
          <c:orientation val="minMax"/>
        </c:scaling>
        <c:delete val="1"/>
        <c:axPos val="b"/>
        <c:numFmt formatCode="0" sourceLinked="1"/>
        <c:majorTickMark val="none"/>
        <c:minorTickMark val="none"/>
        <c:tickLblPos val="nextTo"/>
        <c:crossAx val="34670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[Blinkit-Sales-Dashboard(Excel).xlsx]Sheet2!PivotTable2</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lumMod val="75000"/>
            </a:schemeClr>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FFD200"/>
          </a:solidFill>
          <a:ln w="19050">
            <a:solidFill>
              <a:schemeClr val="lt1"/>
            </a:solidFill>
          </a:ln>
          <a:effectLst/>
        </c:spPr>
        <c:dLbl>
          <c:idx val="0"/>
          <c:layout>
            <c:manualLayout>
              <c:x val="0.10752688172042997"/>
              <c:y val="0.10904425914047466"/>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0.10035842293906812"/>
              <c:y val="-2.5657472738935216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7181257242739284"/>
                  <c:h val="0.2500584023855657"/>
                </c:manualLayout>
              </c15:layout>
            </c:ext>
          </c:extLst>
        </c:dLbl>
      </c:pivotFmt>
    </c:pivotFmts>
    <c:plotArea>
      <c:layout>
        <c:manualLayout>
          <c:layoutTarget val="inner"/>
          <c:xMode val="edge"/>
          <c:yMode val="edge"/>
          <c:x val="0.21831456551801992"/>
          <c:y val="6.4143681847338041E-2"/>
          <c:w val="0.5054353286484351"/>
          <c:h val="0.9045314733349159"/>
        </c:manualLayout>
      </c:layout>
      <c:doughnutChart>
        <c:varyColors val="1"/>
        <c:ser>
          <c:idx val="0"/>
          <c:order val="0"/>
          <c:tx>
            <c:strRef>
              <c:f>Sheet2!$B$11</c:f>
              <c:strCache>
                <c:ptCount val="1"/>
                <c:pt idx="0">
                  <c:v>Total</c:v>
                </c:pt>
              </c:strCache>
            </c:strRef>
          </c:tx>
          <c:spPr>
            <a:solidFill>
              <a:schemeClr val="accent6">
                <a:lumMod val="75000"/>
              </a:schemeClr>
            </a:solidFill>
          </c:spPr>
          <c:dPt>
            <c:idx val="0"/>
            <c:bubble3D val="0"/>
            <c:spPr>
              <a:solidFill>
                <a:srgbClr val="FFD200"/>
              </a:solidFill>
              <a:ln w="19050">
                <a:solidFill>
                  <a:schemeClr val="lt1"/>
                </a:solidFill>
              </a:ln>
              <a:effectLst/>
            </c:spPr>
            <c:extLst>
              <c:ext xmlns:c16="http://schemas.microsoft.com/office/drawing/2014/chart" uri="{C3380CC4-5D6E-409C-BE32-E72D297353CC}">
                <c16:uniqueId val="{00000001-F177-400C-B895-EB110F2A8D20}"/>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F177-400C-B895-EB110F2A8D20}"/>
              </c:ext>
            </c:extLst>
          </c:dPt>
          <c:dLbls>
            <c:dLbl>
              <c:idx val="0"/>
              <c:layout>
                <c:manualLayout>
                  <c:x val="0.10752688172042997"/>
                  <c:y val="0.1090442591404746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177-400C-B895-EB110F2A8D20}"/>
                </c:ext>
              </c:extLst>
            </c:dLbl>
            <c:dLbl>
              <c:idx val="1"/>
              <c:layout>
                <c:manualLayout>
                  <c:x val="-0.10035842293906812"/>
                  <c:y val="-2.5657472738935216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7181257242739284"/>
                      <c:h val="0.2500584023855657"/>
                    </c:manualLayout>
                  </c15:layout>
                </c:ext>
                <c:ext xmlns:c16="http://schemas.microsoft.com/office/drawing/2014/chart" uri="{C3380CC4-5D6E-409C-BE32-E72D297353CC}">
                  <c16:uniqueId val="{00000003-F177-400C-B895-EB110F2A8D20}"/>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Sheet2!$A$12:$A$13</c:f>
              <c:strCache>
                <c:ptCount val="2"/>
                <c:pt idx="0">
                  <c:v>Low Fat</c:v>
                </c:pt>
                <c:pt idx="1">
                  <c:v>Regular</c:v>
                </c:pt>
              </c:strCache>
            </c:strRef>
          </c:cat>
          <c:val>
            <c:numRef>
              <c:f>Sheet2!$B$12:$B$13</c:f>
              <c:numCache>
                <c:formatCode>\$0.00,"K"</c:formatCode>
                <c:ptCount val="2"/>
                <c:pt idx="0">
                  <c:v>776319.68840000057</c:v>
                </c:pt>
                <c:pt idx="1">
                  <c:v>425361.8043999995</c:v>
                </c:pt>
              </c:numCache>
            </c:numRef>
          </c:val>
          <c:extLst>
            <c:ext xmlns:c16="http://schemas.microsoft.com/office/drawing/2014/chart" uri="{C3380CC4-5D6E-409C-BE32-E72D297353CC}">
              <c16:uniqueId val="{00000004-F177-400C-B895-EB110F2A8D20}"/>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alpha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[Blinkit-Sales-Dashboard(Excel).xlsx]Sheet2!PivotTable3</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12621138703814"/>
          <c:y val="0.27053799112674365"/>
          <c:w val="0.7763737886129618"/>
          <c:h val="0.69068028298493145"/>
        </c:manualLayout>
      </c:layout>
      <c:barChart>
        <c:barDir val="bar"/>
        <c:grouping val="clustered"/>
        <c:varyColors val="0"/>
        <c:ser>
          <c:idx val="0"/>
          <c:order val="0"/>
          <c:tx>
            <c:strRef>
              <c:f>Sheet2!$B$18:$B$19</c:f>
              <c:strCache>
                <c:ptCount val="1"/>
                <c:pt idx="0">
                  <c:v>Regular</c:v>
                </c:pt>
              </c:strCache>
            </c:strRef>
          </c:tx>
          <c:spPr>
            <a:solidFill>
              <a:schemeClr val="accent6">
                <a:lumMod val="75000"/>
              </a:schemeClr>
            </a:solidFill>
            <a:ln>
              <a:noFill/>
            </a:ln>
            <a:effectLst/>
          </c:spPr>
          <c:invertIfNegative val="0"/>
          <c:cat>
            <c:strRef>
              <c:f>Sheet2!$A$20:$A$22</c:f>
              <c:strCache>
                <c:ptCount val="3"/>
                <c:pt idx="0">
                  <c:v>Tier 1</c:v>
                </c:pt>
                <c:pt idx="1">
                  <c:v>Tier 2</c:v>
                </c:pt>
                <c:pt idx="2">
                  <c:v>Tier 3</c:v>
                </c:pt>
              </c:strCache>
            </c:strRef>
          </c:cat>
          <c:val>
            <c:numRef>
              <c:f>Sheet2!$B$20:$B$22</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A4CE-4C4C-BAAC-4165F17DC767}"/>
            </c:ext>
          </c:extLst>
        </c:ser>
        <c:ser>
          <c:idx val="1"/>
          <c:order val="1"/>
          <c:tx>
            <c:strRef>
              <c:f>Sheet2!$C$18:$C$19</c:f>
              <c:strCache>
                <c:ptCount val="1"/>
                <c:pt idx="0">
                  <c:v>Low Fat</c:v>
                </c:pt>
              </c:strCache>
            </c:strRef>
          </c:tx>
          <c:spPr>
            <a:solidFill>
              <a:srgbClr val="FFD200"/>
            </a:solidFill>
            <a:ln>
              <a:noFill/>
            </a:ln>
            <a:effectLst/>
          </c:spPr>
          <c:invertIfNegative val="0"/>
          <c:cat>
            <c:strRef>
              <c:f>Sheet2!$A$20:$A$22</c:f>
              <c:strCache>
                <c:ptCount val="3"/>
                <c:pt idx="0">
                  <c:v>Tier 1</c:v>
                </c:pt>
                <c:pt idx="1">
                  <c:v>Tier 2</c:v>
                </c:pt>
                <c:pt idx="2">
                  <c:v>Tier 3</c:v>
                </c:pt>
              </c:strCache>
            </c:strRef>
          </c:cat>
          <c:val>
            <c:numRef>
              <c:f>Sheet2!$C$20:$C$22</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A4CE-4C4C-BAAC-4165F17DC767}"/>
            </c:ext>
          </c:extLst>
        </c:ser>
        <c:dLbls>
          <c:showLegendKey val="0"/>
          <c:showVal val="0"/>
          <c:showCatName val="0"/>
          <c:showSerName val="0"/>
          <c:showPercent val="0"/>
          <c:showBubbleSize val="0"/>
        </c:dLbls>
        <c:gapWidth val="80"/>
        <c:axId val="1879103935"/>
        <c:axId val="1879113535"/>
      </c:barChart>
      <c:catAx>
        <c:axId val="1879103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79113535"/>
        <c:crosses val="autoZero"/>
        <c:auto val="1"/>
        <c:lblAlgn val="ctr"/>
        <c:lblOffset val="100"/>
        <c:noMultiLvlLbl val="0"/>
      </c:catAx>
      <c:valAx>
        <c:axId val="1879113535"/>
        <c:scaling>
          <c:orientation val="minMax"/>
        </c:scaling>
        <c:delete val="1"/>
        <c:axPos val="b"/>
        <c:numFmt formatCode="\$0.00,&quot;K&quot;" sourceLinked="1"/>
        <c:majorTickMark val="none"/>
        <c:minorTickMark val="none"/>
        <c:tickLblPos val="nextTo"/>
        <c:crossAx val="187910393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dTable>
      <c:spPr>
        <a:noFill/>
        <a:ln>
          <a:noFill/>
        </a:ln>
        <a:effectLst/>
      </c:spPr>
    </c:plotArea>
    <c:legend>
      <c:legendPos val="t"/>
      <c:layout>
        <c:manualLayout>
          <c:xMode val="edge"/>
          <c:yMode val="edge"/>
          <c:x val="0.23796506030353512"/>
          <c:y val="0.14942528735632185"/>
          <c:w val="0.41752457883403843"/>
          <c:h val="4.454158747397953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[Blinkit-Sales-Dashboard(Excel).xlsx]Sheet2!PivotTable4</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452425064513994"/>
          <c:y val="5.7762433193260167E-2"/>
          <c:w val="0.55142764051045345"/>
          <c:h val="0.88669780914691365"/>
        </c:manualLayout>
      </c:layout>
      <c:barChart>
        <c:barDir val="bar"/>
        <c:grouping val="clustered"/>
        <c:varyColors val="0"/>
        <c:ser>
          <c:idx val="0"/>
          <c:order val="0"/>
          <c:tx>
            <c:strRef>
              <c:f>Sheet2!$B$29</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Sheet2!$A$30:$A$45</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Sheet2!$B$30:$B$45</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4A2C-4899-8F24-93BBE10B9192}"/>
            </c:ext>
          </c:extLst>
        </c:ser>
        <c:dLbls>
          <c:dLblPos val="outEnd"/>
          <c:showLegendKey val="0"/>
          <c:showVal val="1"/>
          <c:showCatName val="0"/>
          <c:showSerName val="0"/>
          <c:showPercent val="0"/>
          <c:showBubbleSize val="0"/>
        </c:dLbls>
        <c:gapWidth val="62"/>
        <c:axId val="1837443744"/>
        <c:axId val="1837443264"/>
      </c:barChart>
      <c:catAx>
        <c:axId val="1837443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37443264"/>
        <c:crosses val="autoZero"/>
        <c:auto val="1"/>
        <c:lblAlgn val="ctr"/>
        <c:lblOffset val="100"/>
        <c:noMultiLvlLbl val="0"/>
      </c:catAx>
      <c:valAx>
        <c:axId val="1837443264"/>
        <c:scaling>
          <c:orientation val="minMax"/>
        </c:scaling>
        <c:delete val="1"/>
        <c:axPos val="b"/>
        <c:numFmt formatCode="\$0.00,&quot;K&quot;" sourceLinked="1"/>
        <c:majorTickMark val="none"/>
        <c:minorTickMark val="none"/>
        <c:tickLblPos val="nextTo"/>
        <c:crossAx val="1837443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[Blinkit-Sales-Dashboard(Excel).xlsx]Sheet2!PivotTable5</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w="25400">
            <a:solidFill>
              <a:srgbClr val="FFD200"/>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w="25400">
            <a:solidFill>
              <a:srgbClr val="FFD200"/>
            </a:solidFill>
          </a:ln>
          <a:effectLst>
            <a:innerShdw dist="12700" dir="16200000">
              <a:schemeClr val="lt1">
                <a:alpha val="75000"/>
              </a:schemeClr>
            </a:innerShdw>
          </a:effectLst>
        </c:spPr>
        <c:dLbl>
          <c:idx val="0"/>
          <c:layout>
            <c:manualLayout>
              <c:x val="4.5977011494252864E-3"/>
              <c:y val="-0.178662582950484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solidFill>
          <a:ln w="25400">
            <a:solidFill>
              <a:srgbClr val="FFD200"/>
            </a:solidFill>
          </a:ln>
          <a:effectLst>
            <a:innerShdw dist="12700" dir="16200000">
              <a:schemeClr val="lt1">
                <a:alpha val="75000"/>
              </a:schemeClr>
            </a:innerShdw>
          </a:effectLst>
        </c:spPr>
        <c:dLbl>
          <c:idx val="0"/>
          <c:layout>
            <c:manualLayout>
              <c:x val="-2.2988505747126436E-3"/>
              <c:y val="-0.270546197039305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w="25400">
            <a:solidFill>
              <a:srgbClr val="FFD200"/>
            </a:solidFill>
          </a:ln>
          <a:effectLst>
            <a:innerShdw dist="12700" dir="16200000">
              <a:schemeClr val="lt1">
                <a:alpha val="75000"/>
              </a:schemeClr>
            </a:innerShdw>
          </a:effectLst>
        </c:spPr>
        <c:dLbl>
          <c:idx val="0"/>
          <c:layout>
            <c:manualLayout>
              <c:x val="2.2988505747126857E-3"/>
              <c:y val="-0.250127616130678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w="25400">
            <a:solidFill>
              <a:srgbClr val="FFD200"/>
            </a:solidFill>
          </a:ln>
          <a:effectLst>
            <a:innerShdw dist="12700" dir="16200000">
              <a:schemeClr val="lt1">
                <a:alpha val="75000"/>
              </a:schemeClr>
            </a:innerShdw>
          </a:effectLst>
        </c:spPr>
        <c:dLbl>
          <c:idx val="0"/>
          <c:layout>
            <c:manualLayout>
              <c:x val="6.8965517241378893E-3"/>
              <c:y val="-0.250127616130678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w="25400">
            <a:solidFill>
              <a:srgbClr val="FFD200"/>
            </a:solidFill>
          </a:ln>
          <a:effectLst>
            <a:innerShdw dist="12700" dir="16200000">
              <a:schemeClr val="lt1">
                <a:alpha val="75000"/>
              </a:schemeClr>
            </a:innerShdw>
          </a:effectLst>
        </c:spPr>
        <c:dLbl>
          <c:idx val="0"/>
          <c:layout>
            <c:manualLayout>
              <c:x val="-2.0689655172413793E-2"/>
              <c:y val="-0.234813680449208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w="25400">
            <a:solidFill>
              <a:srgbClr val="FFD200"/>
            </a:solidFill>
          </a:ln>
          <a:effectLst>
            <a:innerShdw dist="12700" dir="16200000">
              <a:schemeClr val="lt1">
                <a:alpha val="75000"/>
              </a:schemeClr>
            </a:innerShdw>
          </a:effectLst>
        </c:spPr>
        <c:dLbl>
          <c:idx val="0"/>
          <c:layout>
            <c:manualLayout>
              <c:x val="-4.5977011494252873E-3"/>
              <c:y val="-0.275650842266462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solidFill>
          <a:ln w="25400">
            <a:solidFill>
              <a:srgbClr val="FFD200"/>
            </a:solidFill>
          </a:ln>
          <a:effectLst>
            <a:innerShdw dist="12700" dir="16200000">
              <a:schemeClr val="lt1">
                <a:alpha val="75000"/>
              </a:schemeClr>
            </a:innerShdw>
          </a:effectLst>
        </c:spPr>
        <c:dLbl>
          <c:idx val="0"/>
          <c:layout>
            <c:manualLayout>
              <c:x val="-8.4290214011718579E-17"/>
              <c:y val="-0.37008657799857714"/>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2655081907864964E-2"/>
                  <c:h val="7.6493309699227865E-2"/>
                </c:manualLayout>
              </c15:layout>
            </c:ext>
          </c:extLst>
        </c:dLbl>
      </c:pivotFmt>
      <c:pivotFmt>
        <c:idx val="10"/>
        <c:spPr>
          <a:solidFill>
            <a:srgbClr val="FFD200"/>
          </a:solidFill>
          <a:ln w="25400">
            <a:solidFill>
              <a:srgbClr val="FFD200"/>
            </a:solidFill>
          </a:ln>
          <a:effectLst>
            <a:innerShdw dist="12700" dir="16200000">
              <a:schemeClr val="lt1">
                <a:alpha val="75000"/>
              </a:schemeClr>
            </a:innerShdw>
          </a:effectLst>
        </c:spPr>
        <c:dLbl>
          <c:idx val="0"/>
          <c:layout>
            <c:manualLayout>
              <c:x val="6.8965517241379309E-3"/>
              <c:y val="-0.245022970903522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w="25400">
            <a:solidFill>
              <a:srgbClr val="FFD200"/>
            </a:solidFill>
          </a:ln>
          <a:effectLst>
            <a:innerShdw dist="12700" dir="16200000">
              <a:schemeClr val="lt1">
                <a:alpha val="75000"/>
              </a:schemeClr>
            </a:innerShdw>
          </a:effectLst>
        </c:spPr>
        <c:dLbl>
          <c:idx val="0"/>
          <c:layout>
            <c:manualLayout>
              <c:x val="-9.1954022988505746E-3"/>
              <c:y val="-0.265441551812149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551724137931032E-2"/>
          <c:y val="8.1674323634507398E-2"/>
          <c:w val="0.90749425287356322"/>
          <c:h val="0.82542997592375988"/>
        </c:manualLayout>
      </c:layout>
      <c:areaChart>
        <c:grouping val="standard"/>
        <c:varyColors val="0"/>
        <c:ser>
          <c:idx val="0"/>
          <c:order val="0"/>
          <c:tx>
            <c:strRef>
              <c:f>Sheet2!$B$50</c:f>
              <c:strCache>
                <c:ptCount val="1"/>
                <c:pt idx="0">
                  <c:v>Total</c:v>
                </c:pt>
              </c:strCache>
            </c:strRef>
          </c:tx>
          <c:spPr>
            <a:solidFill>
              <a:srgbClr val="FFD200"/>
            </a:solidFill>
            <a:ln w="25400">
              <a:solidFill>
                <a:srgbClr val="FFD200"/>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4421-41CB-8118-4205B12BF7D8}"/>
              </c:ext>
            </c:extLst>
          </c:dPt>
          <c:dPt>
            <c:idx val="1"/>
            <c:bubble3D val="0"/>
            <c:extLst>
              <c:ext xmlns:c16="http://schemas.microsoft.com/office/drawing/2014/chart" uri="{C3380CC4-5D6E-409C-BE32-E72D297353CC}">
                <c16:uniqueId val="{00000002-4421-41CB-8118-4205B12BF7D8}"/>
              </c:ext>
            </c:extLst>
          </c:dPt>
          <c:dPt>
            <c:idx val="2"/>
            <c:bubble3D val="0"/>
            <c:extLst>
              <c:ext xmlns:c16="http://schemas.microsoft.com/office/drawing/2014/chart" uri="{C3380CC4-5D6E-409C-BE32-E72D297353CC}">
                <c16:uniqueId val="{00000004-4421-41CB-8118-4205B12BF7D8}"/>
              </c:ext>
            </c:extLst>
          </c:dPt>
          <c:dPt>
            <c:idx val="3"/>
            <c:bubble3D val="0"/>
            <c:extLst>
              <c:ext xmlns:c16="http://schemas.microsoft.com/office/drawing/2014/chart" uri="{C3380CC4-5D6E-409C-BE32-E72D297353CC}">
                <c16:uniqueId val="{00000003-4421-41CB-8118-4205B12BF7D8}"/>
              </c:ext>
            </c:extLst>
          </c:dPt>
          <c:dPt>
            <c:idx val="4"/>
            <c:bubble3D val="0"/>
            <c:extLst>
              <c:ext xmlns:c16="http://schemas.microsoft.com/office/drawing/2014/chart" uri="{C3380CC4-5D6E-409C-BE32-E72D297353CC}">
                <c16:uniqueId val="{00000005-4421-41CB-8118-4205B12BF7D8}"/>
              </c:ext>
            </c:extLst>
          </c:dPt>
          <c:dPt>
            <c:idx val="5"/>
            <c:bubble3D val="0"/>
            <c:extLst>
              <c:ext xmlns:c16="http://schemas.microsoft.com/office/drawing/2014/chart" uri="{C3380CC4-5D6E-409C-BE32-E72D297353CC}">
                <c16:uniqueId val="{00000006-4421-41CB-8118-4205B12BF7D8}"/>
              </c:ext>
            </c:extLst>
          </c:dPt>
          <c:dPt>
            <c:idx val="6"/>
            <c:bubble3D val="0"/>
            <c:extLst>
              <c:ext xmlns:c16="http://schemas.microsoft.com/office/drawing/2014/chart" uri="{C3380CC4-5D6E-409C-BE32-E72D297353CC}">
                <c16:uniqueId val="{00000007-4421-41CB-8118-4205B12BF7D8}"/>
              </c:ext>
            </c:extLst>
          </c:dPt>
          <c:dPt>
            <c:idx val="7"/>
            <c:bubble3D val="0"/>
            <c:extLst>
              <c:ext xmlns:c16="http://schemas.microsoft.com/office/drawing/2014/chart" uri="{C3380CC4-5D6E-409C-BE32-E72D297353CC}">
                <c16:uniqueId val="{00000008-4421-41CB-8118-4205B12BF7D8}"/>
              </c:ext>
            </c:extLst>
          </c:dPt>
          <c:dPt>
            <c:idx val="8"/>
            <c:bubble3D val="0"/>
            <c:extLst>
              <c:ext xmlns:c16="http://schemas.microsoft.com/office/drawing/2014/chart" uri="{C3380CC4-5D6E-409C-BE32-E72D297353CC}">
                <c16:uniqueId val="{00000009-4421-41CB-8118-4205B12BF7D8}"/>
              </c:ext>
            </c:extLst>
          </c:dPt>
          <c:dLbls>
            <c:dLbl>
              <c:idx val="0"/>
              <c:layout>
                <c:manualLayout>
                  <c:x val="4.5977011494252864E-3"/>
                  <c:y val="-0.178662582950484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421-41CB-8118-4205B12BF7D8}"/>
                </c:ext>
              </c:extLst>
            </c:dLbl>
            <c:dLbl>
              <c:idx val="1"/>
              <c:layout>
                <c:manualLayout>
                  <c:x val="-2.2988505747126436E-3"/>
                  <c:y val="-0.270546197039305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421-41CB-8118-4205B12BF7D8}"/>
                </c:ext>
              </c:extLst>
            </c:dLbl>
            <c:dLbl>
              <c:idx val="2"/>
              <c:layout>
                <c:manualLayout>
                  <c:x val="6.8965517241378893E-3"/>
                  <c:y val="-0.250127616130678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421-41CB-8118-4205B12BF7D8}"/>
                </c:ext>
              </c:extLst>
            </c:dLbl>
            <c:dLbl>
              <c:idx val="3"/>
              <c:layout>
                <c:manualLayout>
                  <c:x val="2.2988505747126857E-3"/>
                  <c:y val="-0.250127616130678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421-41CB-8118-4205B12BF7D8}"/>
                </c:ext>
              </c:extLst>
            </c:dLbl>
            <c:dLbl>
              <c:idx val="4"/>
              <c:layout>
                <c:manualLayout>
                  <c:x val="-2.0689655172413793E-2"/>
                  <c:y val="-0.234813680449208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421-41CB-8118-4205B12BF7D8}"/>
                </c:ext>
              </c:extLst>
            </c:dLbl>
            <c:dLbl>
              <c:idx val="5"/>
              <c:layout>
                <c:manualLayout>
                  <c:x val="-4.5977011494252873E-3"/>
                  <c:y val="-0.275650842266462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421-41CB-8118-4205B12BF7D8}"/>
                </c:ext>
              </c:extLst>
            </c:dLbl>
            <c:dLbl>
              <c:idx val="6"/>
              <c:layout>
                <c:manualLayout>
                  <c:x val="-8.4290214011718579E-17"/>
                  <c:y val="-0.37008657799857714"/>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2655081907864964E-2"/>
                      <c:h val="7.6493309699227865E-2"/>
                    </c:manualLayout>
                  </c15:layout>
                </c:ext>
                <c:ext xmlns:c16="http://schemas.microsoft.com/office/drawing/2014/chart" uri="{C3380CC4-5D6E-409C-BE32-E72D297353CC}">
                  <c16:uniqueId val="{00000007-4421-41CB-8118-4205B12BF7D8}"/>
                </c:ext>
              </c:extLst>
            </c:dLbl>
            <c:dLbl>
              <c:idx val="7"/>
              <c:layout>
                <c:manualLayout>
                  <c:x val="6.8965517241379309E-3"/>
                  <c:y val="-0.245022970903522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421-41CB-8118-4205B12BF7D8}"/>
                </c:ext>
              </c:extLst>
            </c:dLbl>
            <c:dLbl>
              <c:idx val="8"/>
              <c:layout>
                <c:manualLayout>
                  <c:x val="-9.1954022988505746E-3"/>
                  <c:y val="-0.265441551812149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421-41CB-8118-4205B12BF7D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Sheet2!$A$51:$A$59</c:f>
              <c:strCache>
                <c:ptCount val="9"/>
                <c:pt idx="0">
                  <c:v>2011</c:v>
                </c:pt>
                <c:pt idx="1">
                  <c:v>2012</c:v>
                </c:pt>
                <c:pt idx="2">
                  <c:v>2014</c:v>
                </c:pt>
                <c:pt idx="3">
                  <c:v>2015</c:v>
                </c:pt>
                <c:pt idx="4">
                  <c:v>2016</c:v>
                </c:pt>
                <c:pt idx="5">
                  <c:v>2017</c:v>
                </c:pt>
                <c:pt idx="6">
                  <c:v>2018</c:v>
                </c:pt>
                <c:pt idx="7">
                  <c:v>2020</c:v>
                </c:pt>
                <c:pt idx="8">
                  <c:v>2022</c:v>
                </c:pt>
              </c:strCache>
            </c:strRef>
          </c:cat>
          <c:val>
            <c:numRef>
              <c:f>Sheet2!$B$51:$B$59</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4421-41CB-8118-4205B12BF7D8}"/>
            </c:ext>
          </c:extLst>
        </c:ser>
        <c:dLbls>
          <c:showLegendKey val="0"/>
          <c:showVal val="0"/>
          <c:showCatName val="0"/>
          <c:showSerName val="0"/>
          <c:showPercent val="0"/>
          <c:showBubbleSize val="0"/>
        </c:dLbls>
        <c:dropLines>
          <c:spPr>
            <a:ln w="9525" cap="flat" cmpd="sng" algn="ctr">
              <a:solidFill>
                <a:srgbClr val="FFD200">
                  <a:alpha val="77000"/>
                </a:srgbClr>
              </a:solidFill>
              <a:round/>
            </a:ln>
            <a:effectLst/>
          </c:spPr>
        </c:dropLines>
        <c:axId val="1601346672"/>
        <c:axId val="1601347152"/>
      </c:areaChart>
      <c:catAx>
        <c:axId val="1601346672"/>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crossAx val="1601347152"/>
        <c:crosses val="autoZero"/>
        <c:auto val="1"/>
        <c:lblAlgn val="ctr"/>
        <c:lblOffset val="100"/>
        <c:noMultiLvlLbl val="0"/>
      </c:catAx>
      <c:valAx>
        <c:axId val="1601347152"/>
        <c:scaling>
          <c:orientation val="minMax"/>
        </c:scaling>
        <c:delete val="1"/>
        <c:axPos val="l"/>
        <c:numFmt formatCode="\$0.00,&quot;K&quot;" sourceLinked="1"/>
        <c:majorTickMark val="out"/>
        <c:minorTickMark val="none"/>
        <c:tickLblPos val="nextTo"/>
        <c:crossAx val="16013466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[Blinkit-Sales-Dashboard(Excel).xlsx]Sheet2!PivotTable6</c:name>
    <c:fmtId val="24"/>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0.10476190476190476"/>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w="19050">
            <a:solidFill>
              <a:schemeClr val="lt1"/>
            </a:solidFill>
          </a:ln>
          <a:effectLst/>
        </c:spPr>
        <c:dLbl>
          <c:idx val="0"/>
          <c:layout>
            <c:manualLayout>
              <c:x val="4.2857142857142858E-2"/>
              <c:y val="1.234567901234567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solidFill>
            <a:srgbClr val="92D050"/>
          </a:solidFill>
          <a:ln w="19050">
            <a:solidFill>
              <a:schemeClr val="lt1"/>
            </a:solidFill>
          </a:ln>
          <a:effectLst/>
        </c:spPr>
        <c:dLbl>
          <c:idx val="0"/>
          <c:layout>
            <c:manualLayout>
              <c:x val="-0.10000000000000002"/>
              <c:y val="-0.1604938271604938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192838395200601"/>
                  <c:h val="0.19743851463011566"/>
                </c:manualLayout>
              </c15:layout>
            </c:ext>
          </c:extLst>
        </c:dLbl>
      </c:pivotFmt>
    </c:pivotFmts>
    <c:plotArea>
      <c:layout>
        <c:manualLayout>
          <c:layoutTarget val="inner"/>
          <c:xMode val="edge"/>
          <c:yMode val="edge"/>
          <c:x val="0.19791563554555686"/>
          <c:y val="0.17044813842714104"/>
          <c:w val="0.57622942866738813"/>
          <c:h val="0.90464590363704533"/>
        </c:manualLayout>
      </c:layout>
      <c:doughnutChart>
        <c:varyColors val="1"/>
        <c:ser>
          <c:idx val="0"/>
          <c:order val="0"/>
          <c:tx>
            <c:strRef>
              <c:f>Sheet2!$B$67</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948F-4BFC-B840-13BF2DFB15CB}"/>
              </c:ext>
            </c:extLst>
          </c:dPt>
          <c:dPt>
            <c:idx val="1"/>
            <c:bubble3D val="0"/>
            <c:spPr>
              <a:solidFill>
                <a:srgbClr val="FFD200"/>
              </a:solidFill>
              <a:ln w="19050">
                <a:solidFill>
                  <a:schemeClr val="lt1"/>
                </a:solidFill>
              </a:ln>
              <a:effectLst/>
            </c:spPr>
            <c:extLst>
              <c:ext xmlns:c16="http://schemas.microsoft.com/office/drawing/2014/chart" uri="{C3380CC4-5D6E-409C-BE32-E72D297353CC}">
                <c16:uniqueId val="{00000003-948F-4BFC-B840-13BF2DFB15CB}"/>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948F-4BFC-B840-13BF2DFB15CB}"/>
              </c:ext>
            </c:extLst>
          </c:dPt>
          <c:dLbls>
            <c:dLbl>
              <c:idx val="0"/>
              <c:layout>
                <c:manualLayout>
                  <c:x val="0.10476190476190476"/>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48F-4BFC-B840-13BF2DFB15CB}"/>
                </c:ext>
              </c:extLst>
            </c:dLbl>
            <c:dLbl>
              <c:idx val="1"/>
              <c:layout>
                <c:manualLayout>
                  <c:x val="4.2857142857142858E-2"/>
                  <c:y val="1.234567901234567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3-948F-4BFC-B840-13BF2DFB15CB}"/>
                </c:ext>
              </c:extLst>
            </c:dLbl>
            <c:dLbl>
              <c:idx val="2"/>
              <c:layout>
                <c:manualLayout>
                  <c:x val="-0.10000000000000002"/>
                  <c:y val="-0.1604938271604938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192838395200601"/>
                      <c:h val="0.19743851463011566"/>
                    </c:manualLayout>
                  </c15:layout>
                </c:ext>
                <c:ext xmlns:c16="http://schemas.microsoft.com/office/drawing/2014/chart" uri="{C3380CC4-5D6E-409C-BE32-E72D297353CC}">
                  <c16:uniqueId val="{00000005-948F-4BFC-B840-13BF2DFB15C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Sheet2!$A$68:$A$70</c:f>
              <c:strCache>
                <c:ptCount val="3"/>
                <c:pt idx="0">
                  <c:v>High</c:v>
                </c:pt>
                <c:pt idx="1">
                  <c:v>Medium</c:v>
                </c:pt>
                <c:pt idx="2">
                  <c:v>Small</c:v>
                </c:pt>
              </c:strCache>
            </c:strRef>
          </c:cat>
          <c:val>
            <c:numRef>
              <c:f>Sheet2!$B$68:$B$70</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948F-4BFC-B840-13BF2DFB15CB}"/>
            </c:ext>
          </c:extLst>
        </c:ser>
        <c:dLbls>
          <c:showLegendKey val="0"/>
          <c:showVal val="1"/>
          <c:showCatName val="0"/>
          <c:showSerName val="0"/>
          <c:showPercent val="0"/>
          <c:showBubbleSize val="0"/>
          <c:showLeaderLines val="1"/>
        </c:dLbls>
        <c:firstSliceAng val="0"/>
        <c:holeSize val="81"/>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[Blinkit-Sales-Dashboard(Excel).xlsx]Sheet2!PivotTable8</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dLbl>
          <c:idx val="0"/>
          <c:layout>
            <c:manualLayout>
              <c:x val="-0.24607329842931927"/>
              <c:y val="-0.115942028985507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016631457653157"/>
          <c:y val="0.18691163604549432"/>
          <c:w val="0.48675847386029536"/>
          <c:h val="0.72327537916820805"/>
        </c:manualLayout>
      </c:layout>
      <c:barChart>
        <c:barDir val="bar"/>
        <c:grouping val="clustered"/>
        <c:varyColors val="0"/>
        <c:ser>
          <c:idx val="0"/>
          <c:order val="0"/>
          <c:tx>
            <c:strRef>
              <c:f>Sheet2!$B$96</c:f>
              <c:strCache>
                <c:ptCount val="1"/>
                <c:pt idx="0">
                  <c:v>Total</c:v>
                </c:pt>
              </c:strCache>
            </c:strRef>
          </c:tx>
          <c:spPr>
            <a:solidFill>
              <a:schemeClr val="accent4">
                <a:lumMod val="60000"/>
                <a:lumOff val="40000"/>
              </a:schemeClr>
            </a:solidFill>
            <a:ln>
              <a:noFill/>
            </a:ln>
            <a:effectLst/>
          </c:spPr>
          <c:invertIfNegative val="0"/>
          <c:dPt>
            <c:idx val="3"/>
            <c:invertIfNegative val="0"/>
            <c:bubble3D val="0"/>
            <c:extLst>
              <c:ext xmlns:c16="http://schemas.microsoft.com/office/drawing/2014/chart" uri="{C3380CC4-5D6E-409C-BE32-E72D297353CC}">
                <c16:uniqueId val="{00000001-822D-4FF1-A938-98086E767B4D}"/>
              </c:ext>
            </c:extLst>
          </c:dPt>
          <c:dLbls>
            <c:dLbl>
              <c:idx val="3"/>
              <c:layout>
                <c:manualLayout>
                  <c:x val="-0.24607329842931927"/>
                  <c:y val="-0.1159420289855072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22D-4FF1-A938-98086E767B4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Sheet2!$A$97:$A$100</c:f>
              <c:strCache>
                <c:ptCount val="4"/>
                <c:pt idx="0">
                  <c:v>Grocery Store</c:v>
                </c:pt>
                <c:pt idx="1">
                  <c:v>Supermarket Type3</c:v>
                </c:pt>
                <c:pt idx="2">
                  <c:v>Supermarket Type2</c:v>
                </c:pt>
                <c:pt idx="3">
                  <c:v>Supermarket Type1</c:v>
                </c:pt>
              </c:strCache>
            </c:strRef>
          </c:cat>
          <c:val>
            <c:numRef>
              <c:f>Sheet2!$B$97:$B$100</c:f>
              <c:numCache>
                <c:formatCode>\$0.00,"K"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822D-4FF1-A938-98086E767B4D}"/>
            </c:ext>
          </c:extLst>
        </c:ser>
        <c:dLbls>
          <c:dLblPos val="outEnd"/>
          <c:showLegendKey val="0"/>
          <c:showVal val="1"/>
          <c:showCatName val="0"/>
          <c:showSerName val="0"/>
          <c:showPercent val="0"/>
          <c:showBubbleSize val="0"/>
        </c:dLbls>
        <c:gapWidth val="70"/>
        <c:axId val="1673780944"/>
        <c:axId val="35222544"/>
      </c:barChart>
      <c:catAx>
        <c:axId val="1673780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22544"/>
        <c:crosses val="autoZero"/>
        <c:auto val="1"/>
        <c:lblAlgn val="ctr"/>
        <c:lblOffset val="100"/>
        <c:noMultiLvlLbl val="0"/>
      </c:catAx>
      <c:valAx>
        <c:axId val="35222544"/>
        <c:scaling>
          <c:orientation val="minMax"/>
        </c:scaling>
        <c:delete val="1"/>
        <c:axPos val="b"/>
        <c:numFmt formatCode="\$0.00,&quot;K&quot;" sourceLinked="1"/>
        <c:majorTickMark val="none"/>
        <c:minorTickMark val="none"/>
        <c:tickLblPos val="nextTo"/>
        <c:crossAx val="1673780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[Blinkit-Sales-Dashboard(Excel).xlsx]Sheet2!PivotTable9</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dLbl>
          <c:idx val="0"/>
          <c:layout>
            <c:manualLayout>
              <c:x val="-1.2345679012345678E-2"/>
              <c:y val="-0.100775193798449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pivotFmt>
      <c:pivotFmt>
        <c:idx val="5"/>
        <c:spPr>
          <a:solidFill>
            <a:schemeClr val="accent6">
              <a:lumMod val="40000"/>
              <a:lumOff val="60000"/>
            </a:schemeClr>
          </a:solidFill>
          <a:ln>
            <a:noFill/>
          </a:ln>
          <a:effectLst/>
        </c:spPr>
      </c:pivotFmt>
      <c:pivotFmt>
        <c:idx val="6"/>
        <c:spPr>
          <a:solidFill>
            <a:schemeClr val="accent6">
              <a:lumMod val="75000"/>
            </a:schemeClr>
          </a:solidFill>
          <a:ln>
            <a:noFill/>
          </a:ln>
          <a:effectLst/>
        </c:spPr>
        <c:dLbl>
          <c:idx val="0"/>
          <c:layout>
            <c:manualLayout>
              <c:x val="-0.11111111111111123"/>
              <c:y val="-0.124031007751937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198996633086963"/>
          <c:y val="9.4966761633428307E-2"/>
          <c:w val="0.4460287864357671"/>
          <c:h val="0.79107312440645772"/>
        </c:manualLayout>
      </c:layout>
      <c:barChart>
        <c:barDir val="bar"/>
        <c:grouping val="clustered"/>
        <c:varyColors val="0"/>
        <c:ser>
          <c:idx val="0"/>
          <c:order val="0"/>
          <c:tx>
            <c:strRef>
              <c:f>Sheet2!$B$105</c:f>
              <c:strCache>
                <c:ptCount val="1"/>
                <c:pt idx="0">
                  <c:v>Total</c:v>
                </c:pt>
              </c:strCache>
            </c:strRef>
          </c:tx>
          <c:spPr>
            <a:solidFill>
              <a:schemeClr val="accent6">
                <a:lumMod val="75000"/>
              </a:schemeClr>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EDA5-47EF-8410-36D0C43CA126}"/>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2-EDA5-47EF-8410-36D0C43CA126}"/>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1-EDA5-47EF-8410-36D0C43CA126}"/>
              </c:ext>
            </c:extLst>
          </c:dPt>
          <c:dPt>
            <c:idx val="3"/>
            <c:invertIfNegative val="0"/>
            <c:bubble3D val="0"/>
            <c:extLst>
              <c:ext xmlns:c16="http://schemas.microsoft.com/office/drawing/2014/chart" uri="{C3380CC4-5D6E-409C-BE32-E72D297353CC}">
                <c16:uniqueId val="{00000004-EDA5-47EF-8410-36D0C43CA126}"/>
              </c:ext>
            </c:extLst>
          </c:dPt>
          <c:dLbls>
            <c:dLbl>
              <c:idx val="2"/>
              <c:layout>
                <c:manualLayout>
                  <c:x val="-1.2345679012345678E-2"/>
                  <c:y val="-0.1007751937984496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DA5-47EF-8410-36D0C43CA126}"/>
                </c:ext>
              </c:extLst>
            </c:dLbl>
            <c:dLbl>
              <c:idx val="3"/>
              <c:layout>
                <c:manualLayout>
                  <c:x val="-0.11111111111111123"/>
                  <c:y val="-0.12403100775193798"/>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DA5-47EF-8410-36D0C43CA12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Sheet2!$A$106:$A$109</c:f>
              <c:strCache>
                <c:ptCount val="4"/>
                <c:pt idx="0">
                  <c:v>Grocery Store</c:v>
                </c:pt>
                <c:pt idx="1">
                  <c:v>Supermarket Type3</c:v>
                </c:pt>
                <c:pt idx="2">
                  <c:v>Supermarket Type2</c:v>
                </c:pt>
                <c:pt idx="3">
                  <c:v>Supermarket Type1</c:v>
                </c:pt>
              </c:strCache>
            </c:strRef>
          </c:cat>
          <c:val>
            <c:numRef>
              <c:f>Sheet2!$B$106:$B$109</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EDA5-47EF-8410-36D0C43CA126}"/>
            </c:ext>
          </c:extLst>
        </c:ser>
        <c:dLbls>
          <c:showLegendKey val="0"/>
          <c:showVal val="0"/>
          <c:showCatName val="0"/>
          <c:showSerName val="0"/>
          <c:showPercent val="0"/>
          <c:showBubbleSize val="0"/>
        </c:dLbls>
        <c:gapWidth val="70"/>
        <c:axId val="1897322144"/>
        <c:axId val="1897320704"/>
      </c:barChart>
      <c:catAx>
        <c:axId val="1897322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320704"/>
        <c:crosses val="autoZero"/>
        <c:auto val="1"/>
        <c:lblAlgn val="ctr"/>
        <c:lblOffset val="100"/>
        <c:noMultiLvlLbl val="0"/>
      </c:catAx>
      <c:valAx>
        <c:axId val="1897320704"/>
        <c:scaling>
          <c:orientation val="minMax"/>
        </c:scaling>
        <c:delete val="1"/>
        <c:axPos val="b"/>
        <c:numFmt formatCode="\$0" sourceLinked="1"/>
        <c:majorTickMark val="none"/>
        <c:minorTickMark val="none"/>
        <c:tickLblPos val="nextTo"/>
        <c:crossAx val="1897322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[Blinkit-Sales-Dashboard(Excel).xlsx]Sheet2!PivotTable10</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pivotFmt>
      <c:pivotFmt>
        <c:idx val="4"/>
        <c:spPr>
          <a:solidFill>
            <a:srgbClr val="FFD200"/>
          </a:solidFill>
          <a:ln>
            <a:noFill/>
          </a:ln>
          <a:effectLst/>
        </c:spPr>
      </c:pivotFmt>
      <c:pivotFmt>
        <c:idx val="5"/>
        <c:spPr>
          <a:solidFill>
            <a:schemeClr val="accent6">
              <a:lumMod val="60000"/>
              <a:lumOff val="40000"/>
            </a:schemeClr>
          </a:solidFill>
          <a:ln>
            <a:noFill/>
          </a:ln>
          <a:effectLst/>
        </c:spPr>
      </c:pivotFmt>
    </c:pivotFmts>
    <c:plotArea>
      <c:layout/>
      <c:barChart>
        <c:barDir val="bar"/>
        <c:grouping val="clustered"/>
        <c:varyColors val="0"/>
        <c:ser>
          <c:idx val="0"/>
          <c:order val="0"/>
          <c:tx>
            <c:strRef>
              <c:f>Sheet2!$B$115</c:f>
              <c:strCache>
                <c:ptCount val="1"/>
                <c:pt idx="0">
                  <c:v>Total</c:v>
                </c:pt>
              </c:strCache>
            </c:strRef>
          </c:tx>
          <c:spPr>
            <a:solidFill>
              <a:schemeClr val="accent6">
                <a:lumMod val="40000"/>
                <a:lumOff val="60000"/>
              </a:schemeClr>
            </a:solidFill>
            <a:ln>
              <a:noFill/>
            </a:ln>
            <a:effectLst/>
          </c:spPr>
          <c:invertIfNegative val="0"/>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D3BA-43D9-AE85-377CB0A1DF22}"/>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1-D3BA-43D9-AE85-377CB0A1DF22}"/>
              </c:ext>
            </c:extLst>
          </c:dPt>
          <c:dPt>
            <c:idx val="3"/>
            <c:invertIfNegative val="0"/>
            <c:bubble3D val="0"/>
            <c:spPr>
              <a:solidFill>
                <a:srgbClr val="FFD200"/>
              </a:solidFill>
              <a:ln>
                <a:noFill/>
              </a:ln>
              <a:effectLst/>
            </c:spPr>
            <c:extLst>
              <c:ext xmlns:c16="http://schemas.microsoft.com/office/drawing/2014/chart" uri="{C3380CC4-5D6E-409C-BE32-E72D297353CC}">
                <c16:uniqueId val="{00000002-D3BA-43D9-AE85-377CB0A1DF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Sheet2!$A$116:$A$119</c:f>
              <c:strCache>
                <c:ptCount val="4"/>
                <c:pt idx="0">
                  <c:v>Grocery Store</c:v>
                </c:pt>
                <c:pt idx="1">
                  <c:v>Supermarket Type3</c:v>
                </c:pt>
                <c:pt idx="2">
                  <c:v>Supermarket Type2</c:v>
                </c:pt>
                <c:pt idx="3">
                  <c:v>Supermarket Type1</c:v>
                </c:pt>
              </c:strCache>
            </c:strRef>
          </c:cat>
          <c:val>
            <c:numRef>
              <c:f>Sheet2!$B$116:$B$119</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D3BA-43D9-AE85-377CB0A1DF22}"/>
            </c:ext>
          </c:extLst>
        </c:ser>
        <c:dLbls>
          <c:dLblPos val="outEnd"/>
          <c:showLegendKey val="0"/>
          <c:showVal val="1"/>
          <c:showCatName val="0"/>
          <c:showSerName val="0"/>
          <c:showPercent val="0"/>
          <c:showBubbleSize val="0"/>
        </c:dLbls>
        <c:gapWidth val="67"/>
        <c:axId val="34670288"/>
        <c:axId val="34670768"/>
      </c:barChart>
      <c:catAx>
        <c:axId val="34670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70768"/>
        <c:crosses val="autoZero"/>
        <c:auto val="1"/>
        <c:lblAlgn val="ctr"/>
        <c:lblOffset val="100"/>
        <c:noMultiLvlLbl val="0"/>
      </c:catAx>
      <c:valAx>
        <c:axId val="34670768"/>
        <c:scaling>
          <c:orientation val="minMax"/>
        </c:scaling>
        <c:delete val="1"/>
        <c:axPos val="b"/>
        <c:numFmt formatCode="0" sourceLinked="1"/>
        <c:majorTickMark val="none"/>
        <c:minorTickMark val="none"/>
        <c:tickLblPos val="nextTo"/>
        <c:crossAx val="34670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00000000-3248-4391-9913-E5639585B95E}">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plotArea>
      <cx:plotAreaRegion>
        <cx:series layoutId="funnel" uniqueId="{00000000-3248-4391-9913-E5639585B95E}">
          <cx:tx>
            <cx:txData>
              <cx:f>_xlchart.v2.4</cx:f>
              <cx:v>Sales</cx:v>
            </cx:txData>
          </cx:tx>
          <cx:spPr>
            <a:solidFill>
              <a:srgbClr val="FFD200"/>
            </a:solidFill>
          </cx:spPr>
          <cx:dataPt idx="1">
            <cx:spPr>
              <a:solidFill>
                <a:srgbClr val="FFC000">
                  <a:lumMod val="60000"/>
                  <a:lumOff val="40000"/>
                </a:srgbClr>
              </a:solidFill>
            </cx:spPr>
          </cx:dataPt>
          <cx:dataPt idx="2">
            <cx:spPr>
              <a:solidFill>
                <a:srgbClr val="FFC000">
                  <a:lumMod val="40000"/>
                  <a:lumOff val="60000"/>
                </a:srgbClr>
              </a:solidFill>
            </cx:spPr>
          </cx:dataPt>
          <cx:dataLabels>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2.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4</xdr:col>
      <xdr:colOff>144780</xdr:colOff>
      <xdr:row>0</xdr:row>
      <xdr:rowOff>160019</xdr:rowOff>
    </xdr:from>
    <xdr:to>
      <xdr:col>6</xdr:col>
      <xdr:colOff>632460</xdr:colOff>
      <xdr:row>6</xdr:row>
      <xdr:rowOff>167640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3A4CD141-B508-FA52-D19E-852275538C9B}"/>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168140" y="160019"/>
              <a:ext cx="1828800" cy="12268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118110</xdr:colOff>
      <xdr:row>8</xdr:row>
      <xdr:rowOff>152400</xdr:rowOff>
    </xdr:from>
    <xdr:to>
      <xdr:col>3</xdr:col>
      <xdr:colOff>1013460</xdr:colOff>
      <xdr:row>15</xdr:row>
      <xdr:rowOff>110490</xdr:rowOff>
    </xdr:to>
    <xdr:graphicFrame macro="">
      <xdr:nvGraphicFramePr>
        <xdr:cNvPr id="3" name="Chart 2">
          <a:extLst>
            <a:ext uri="{FF2B5EF4-FFF2-40B4-BE49-F238E27FC236}">
              <a16:creationId xmlns:a16="http://schemas.microsoft.com/office/drawing/2014/main" id="{B58ED192-C1B2-1BEA-5AF3-80D71E5812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224790</xdr:colOff>
      <xdr:row>16</xdr:row>
      <xdr:rowOff>106680</xdr:rowOff>
    </xdr:from>
    <xdr:to>
      <xdr:col>6</xdr:col>
      <xdr:colOff>266700</xdr:colOff>
      <xdr:row>22</xdr:row>
      <xdr:rowOff>0</xdr:rowOff>
    </xdr:to>
    <xdr:graphicFrame macro="">
      <xdr:nvGraphicFramePr>
        <xdr:cNvPr id="4" name="Chart 3">
          <a:extLst>
            <a:ext uri="{FF2B5EF4-FFF2-40B4-BE49-F238E27FC236}">
              <a16:creationId xmlns:a16="http://schemas.microsoft.com/office/drawing/2014/main" id="{02462C90-302E-7EB8-678F-769C98BADD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118110</xdr:colOff>
      <xdr:row>27</xdr:row>
      <xdr:rowOff>167640</xdr:rowOff>
    </xdr:from>
    <xdr:to>
      <xdr:col>6</xdr:col>
      <xdr:colOff>411480</xdr:colOff>
      <xdr:row>41</xdr:row>
      <xdr:rowOff>148590</xdr:rowOff>
    </xdr:to>
    <xdr:graphicFrame macro="">
      <xdr:nvGraphicFramePr>
        <xdr:cNvPr id="5" name="Chart 4">
          <a:extLst>
            <a:ext uri="{FF2B5EF4-FFF2-40B4-BE49-F238E27FC236}">
              <a16:creationId xmlns:a16="http://schemas.microsoft.com/office/drawing/2014/main" id="{76183B1A-6A67-4023-C5EE-DD773B2FAD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22860</xdr:colOff>
      <xdr:row>49</xdr:row>
      <xdr:rowOff>30480</xdr:rowOff>
    </xdr:from>
    <xdr:to>
      <xdr:col>7</xdr:col>
      <xdr:colOff>129540</xdr:colOff>
      <xdr:row>59</xdr:row>
      <xdr:rowOff>194310</xdr:rowOff>
    </xdr:to>
    <xdr:graphicFrame macro="">
      <xdr:nvGraphicFramePr>
        <xdr:cNvPr id="6" name="Chart 5">
          <a:extLst>
            <a:ext uri="{FF2B5EF4-FFF2-40B4-BE49-F238E27FC236}">
              <a16:creationId xmlns:a16="http://schemas.microsoft.com/office/drawing/2014/main" id="{9A8183C8-FE30-E930-6F19-5664E33C2F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87630</xdr:colOff>
      <xdr:row>66</xdr:row>
      <xdr:rowOff>45720</xdr:rowOff>
    </xdr:from>
    <xdr:to>
      <xdr:col>4</xdr:col>
      <xdr:colOff>236220</xdr:colOff>
      <xdr:row>71</xdr:row>
      <xdr:rowOff>30480</xdr:rowOff>
    </xdr:to>
    <xdr:graphicFrame macro="">
      <xdr:nvGraphicFramePr>
        <xdr:cNvPr id="7" name="Chart 6">
          <a:extLst>
            <a:ext uri="{FF2B5EF4-FFF2-40B4-BE49-F238E27FC236}">
              <a16:creationId xmlns:a16="http://schemas.microsoft.com/office/drawing/2014/main" id="{8AC2AD5D-906A-0E8E-FEDB-430A9F42ED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647700</xdr:colOff>
      <xdr:row>82</xdr:row>
      <xdr:rowOff>30480</xdr:rowOff>
    </xdr:from>
    <xdr:to>
      <xdr:col>3</xdr:col>
      <xdr:colOff>1005840</xdr:colOff>
      <xdr:row>89</xdr:row>
      <xdr:rowOff>129540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D46B3B1B-6419-A1B6-ACA7-FF053FF24DA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47700" y="16489680"/>
              <a:ext cx="3314700" cy="14859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194310</xdr:colOff>
      <xdr:row>96</xdr:row>
      <xdr:rowOff>15240</xdr:rowOff>
    </xdr:from>
    <xdr:to>
      <xdr:col>5</xdr:col>
      <xdr:colOff>205740</xdr:colOff>
      <xdr:row>101</xdr:row>
      <xdr:rowOff>167640</xdr:rowOff>
    </xdr:to>
    <xdr:graphicFrame macro="">
      <xdr:nvGraphicFramePr>
        <xdr:cNvPr id="9" name="Chart 8">
          <a:extLst>
            <a:ext uri="{FF2B5EF4-FFF2-40B4-BE49-F238E27FC236}">
              <a16:creationId xmlns:a16="http://schemas.microsoft.com/office/drawing/2014/main" id="{342667F5-FE5A-15A3-F60A-C9BCBD5EE2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224790</xdr:colOff>
      <xdr:row>103</xdr:row>
      <xdr:rowOff>175260</xdr:rowOff>
    </xdr:from>
    <xdr:to>
      <xdr:col>5</xdr:col>
      <xdr:colOff>121920</xdr:colOff>
      <xdr:row>110</xdr:row>
      <xdr:rowOff>102870</xdr:rowOff>
    </xdr:to>
    <xdr:graphicFrame macro="">
      <xdr:nvGraphicFramePr>
        <xdr:cNvPr id="10" name="Chart 9">
          <a:extLst>
            <a:ext uri="{FF2B5EF4-FFF2-40B4-BE49-F238E27FC236}">
              <a16:creationId xmlns:a16="http://schemas.microsoft.com/office/drawing/2014/main" id="{56ED350B-FA66-4830-B30D-D073A8C640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209550</xdr:colOff>
      <xdr:row>113</xdr:row>
      <xdr:rowOff>129540</xdr:rowOff>
    </xdr:from>
    <xdr:to>
      <xdr:col>5</xdr:col>
      <xdr:colOff>281940</xdr:colOff>
      <xdr:row>118</xdr:row>
      <xdr:rowOff>194310</xdr:rowOff>
    </xdr:to>
    <xdr:graphicFrame macro="">
      <xdr:nvGraphicFramePr>
        <xdr:cNvPr id="11" name="Chart 10">
          <a:extLst>
            <a:ext uri="{FF2B5EF4-FFF2-40B4-BE49-F238E27FC236}">
              <a16:creationId xmlns:a16="http://schemas.microsoft.com/office/drawing/2014/main" id="{35F51FC5-380E-7B25-51D3-DFB1B4F90B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779919</xdr:colOff>
      <xdr:row>5</xdr:row>
      <xdr:rowOff>55845</xdr:rowOff>
    </xdr:from>
    <xdr:to>
      <xdr:col>21</xdr:col>
      <xdr:colOff>114499</xdr:colOff>
      <xdr:row>47</xdr:row>
      <xdr:rowOff>23359</xdr:rowOff>
    </xdr:to>
    <xdr:sp macro="" textlink="">
      <xdr:nvSpPr>
        <xdr:cNvPr id="2" name="Rectangle 1">
          <a:extLst>
            <a:ext uri="{FF2B5EF4-FFF2-40B4-BE49-F238E27FC236}">
              <a16:creationId xmlns:a16="http://schemas.microsoft.com/office/drawing/2014/main" id="{4B7C70E5-9421-E1AA-5CB4-7D5F03F5BD2E}"/>
            </a:ext>
          </a:extLst>
        </xdr:cNvPr>
        <xdr:cNvSpPr/>
      </xdr:nvSpPr>
      <xdr:spPr>
        <a:xfrm>
          <a:off x="779919" y="1071845"/>
          <a:ext cx="14803180" cy="9022614"/>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794476</xdr:colOff>
      <xdr:row>5</xdr:row>
      <xdr:rowOff>161363</xdr:rowOff>
    </xdr:from>
    <xdr:to>
      <xdr:col>2</xdr:col>
      <xdr:colOff>1143000</xdr:colOff>
      <xdr:row>47</xdr:row>
      <xdr:rowOff>14192</xdr:rowOff>
    </xdr:to>
    <xdr:sp macro="" textlink="">
      <xdr:nvSpPr>
        <xdr:cNvPr id="3" name="Rectangle: Top Corners Rounded 2">
          <a:extLst>
            <a:ext uri="{FF2B5EF4-FFF2-40B4-BE49-F238E27FC236}">
              <a16:creationId xmlns:a16="http://schemas.microsoft.com/office/drawing/2014/main" id="{58A3E2EB-2394-6A96-7B8D-C33AF5A9FCDD}"/>
            </a:ext>
          </a:extLst>
        </xdr:cNvPr>
        <xdr:cNvSpPr/>
      </xdr:nvSpPr>
      <xdr:spPr>
        <a:xfrm rot="5400000">
          <a:off x="-2564477" y="4536316"/>
          <a:ext cx="8907929" cy="2190024"/>
        </a:xfrm>
        <a:prstGeom prst="round2SameRect">
          <a:avLst>
            <a:gd name="adj1" fmla="val 37589"/>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44824</xdr:colOff>
      <xdr:row>7</xdr:row>
      <xdr:rowOff>134472</xdr:rowOff>
    </xdr:from>
    <xdr:to>
      <xdr:col>2</xdr:col>
      <xdr:colOff>963705</xdr:colOff>
      <xdr:row>11</xdr:row>
      <xdr:rowOff>100853</xdr:rowOff>
    </xdr:to>
    <xdr:sp macro="" textlink="">
      <xdr:nvSpPr>
        <xdr:cNvPr id="4" name="TextBox 3">
          <a:extLst>
            <a:ext uri="{FF2B5EF4-FFF2-40B4-BE49-F238E27FC236}">
              <a16:creationId xmlns:a16="http://schemas.microsoft.com/office/drawing/2014/main" id="{0244FA47-E2D5-761C-2D23-C8B59F7EB7C7}"/>
            </a:ext>
          </a:extLst>
        </xdr:cNvPr>
        <xdr:cNvSpPr txBox="1"/>
      </xdr:nvSpPr>
      <xdr:spPr>
        <a:xfrm>
          <a:off x="952500" y="1546413"/>
          <a:ext cx="1860176" cy="773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oneCellAnchor>
    <xdr:from>
      <xdr:col>8</xdr:col>
      <xdr:colOff>165100</xdr:colOff>
      <xdr:row>11</xdr:row>
      <xdr:rowOff>520700</xdr:rowOff>
    </xdr:from>
    <xdr:ext cx="184731" cy="264560"/>
    <xdr:sp macro="" textlink="">
      <xdr:nvSpPr>
        <xdr:cNvPr id="5" name="TextBox 4">
          <a:extLst>
            <a:ext uri="{FF2B5EF4-FFF2-40B4-BE49-F238E27FC236}">
              <a16:creationId xmlns:a16="http://schemas.microsoft.com/office/drawing/2014/main" id="{A6F7D8A4-2F39-7009-C75B-BB47E25266C1}"/>
            </a:ext>
          </a:extLst>
        </xdr:cNvPr>
        <xdr:cNvSpPr txBox="1"/>
      </xdr:nvSpPr>
      <xdr:spPr>
        <a:xfrm>
          <a:off x="6883400" y="2755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xdr:col>
      <xdr:colOff>177800</xdr:colOff>
      <xdr:row>10</xdr:row>
      <xdr:rowOff>165100</xdr:rowOff>
    </xdr:from>
    <xdr:ext cx="1688796" cy="280205"/>
    <xdr:sp macro="" textlink="">
      <xdr:nvSpPr>
        <xdr:cNvPr id="6" name="TextBox 5">
          <a:extLst>
            <a:ext uri="{FF2B5EF4-FFF2-40B4-BE49-F238E27FC236}">
              <a16:creationId xmlns:a16="http://schemas.microsoft.com/office/drawing/2014/main" id="{E89672E6-0520-4C61-68DF-86BC34424598}"/>
            </a:ext>
          </a:extLst>
        </xdr:cNvPr>
        <xdr:cNvSpPr txBox="1"/>
      </xdr:nvSpPr>
      <xdr:spPr>
        <a:xfrm>
          <a:off x="1079500" y="2197100"/>
          <a:ext cx="168879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latin typeface="Aptos Display" panose="020B0004020202020204" pitchFamily="34" charset="0"/>
            </a:rPr>
            <a:t>India's</a:t>
          </a:r>
          <a:r>
            <a:rPr lang="en-IN" sz="1200" b="1" baseline="0">
              <a:latin typeface="Aptos Display" panose="020B0004020202020204" pitchFamily="34" charset="0"/>
            </a:rPr>
            <a:t> Last Minute App</a:t>
          </a:r>
          <a:endParaRPr lang="en-IN" sz="1200" b="1">
            <a:latin typeface="Aptos Display" panose="020B0004020202020204" pitchFamily="34" charset="0"/>
          </a:endParaRPr>
        </a:p>
      </xdr:txBody>
    </xdr:sp>
    <xdr:clientData/>
  </xdr:oneCellAnchor>
  <xdr:twoCellAnchor>
    <xdr:from>
      <xdr:col>3</xdr:col>
      <xdr:colOff>139700</xdr:colOff>
      <xdr:row>6</xdr:row>
      <xdr:rowOff>190500</xdr:rowOff>
    </xdr:from>
    <xdr:to>
      <xdr:col>6</xdr:col>
      <xdr:colOff>647700</xdr:colOff>
      <xdr:row>11</xdr:row>
      <xdr:rowOff>266700</xdr:rowOff>
    </xdr:to>
    <xdr:sp macro="" textlink="">
      <xdr:nvSpPr>
        <xdr:cNvPr id="7" name="Rectangle 6">
          <a:extLst>
            <a:ext uri="{FF2B5EF4-FFF2-40B4-BE49-F238E27FC236}">
              <a16:creationId xmlns:a16="http://schemas.microsoft.com/office/drawing/2014/main" id="{530AE917-AED7-0DDD-DD2B-F7A33C72BAE6}"/>
            </a:ext>
          </a:extLst>
        </xdr:cNvPr>
        <xdr:cNvSpPr/>
      </xdr:nvSpPr>
      <xdr:spPr>
        <a:xfrm>
          <a:off x="3136900" y="1409700"/>
          <a:ext cx="2882900" cy="1092200"/>
        </a:xfrm>
        <a:prstGeom prst="rect">
          <a:avLst/>
        </a:prstGeom>
        <a:gradFill flip="none" rotWithShape="1">
          <a:gsLst>
            <a:gs pos="0">
              <a:srgbClr val="FFD200"/>
            </a:gs>
            <a:gs pos="0">
              <a:schemeClr val="accent6">
                <a:lumMod val="75000"/>
              </a:schemeClr>
            </a:gs>
            <a:gs pos="56000">
              <a:srgbClr val="FFD200"/>
            </a:gs>
          </a:gsLst>
          <a:path path="circle">
            <a:fillToRect l="100000" t="100000"/>
          </a:path>
          <a:tileRect r="-100000" b="-100000"/>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127000</xdr:colOff>
      <xdr:row>7</xdr:row>
      <xdr:rowOff>12700</xdr:rowOff>
    </xdr:from>
    <xdr:to>
      <xdr:col>11</xdr:col>
      <xdr:colOff>495300</xdr:colOff>
      <xdr:row>11</xdr:row>
      <xdr:rowOff>152400</xdr:rowOff>
    </xdr:to>
    <xdr:sp macro="" textlink="">
      <xdr:nvSpPr>
        <xdr:cNvPr id="8" name="Rectangle 7">
          <a:extLst>
            <a:ext uri="{FF2B5EF4-FFF2-40B4-BE49-F238E27FC236}">
              <a16:creationId xmlns:a16="http://schemas.microsoft.com/office/drawing/2014/main" id="{F986D4CA-76A0-472B-B15B-1FE50282039A}"/>
            </a:ext>
          </a:extLst>
        </xdr:cNvPr>
        <xdr:cNvSpPr/>
      </xdr:nvSpPr>
      <xdr:spPr>
        <a:xfrm>
          <a:off x="6172200" y="1435100"/>
          <a:ext cx="3060700" cy="952500"/>
        </a:xfrm>
        <a:prstGeom prst="rect">
          <a:avLst/>
        </a:prstGeom>
        <a:solidFill>
          <a:srgbClr val="FAFAFA"/>
        </a:solidFill>
        <a:ln>
          <a:solidFill>
            <a:srgbClr val="FAFAFA"/>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203200</xdr:colOff>
      <xdr:row>11</xdr:row>
      <xdr:rowOff>482600</xdr:rowOff>
    </xdr:from>
    <xdr:to>
      <xdr:col>7</xdr:col>
      <xdr:colOff>0</xdr:colOff>
      <xdr:row>15</xdr:row>
      <xdr:rowOff>114300</xdr:rowOff>
    </xdr:to>
    <xdr:sp macro="" textlink="">
      <xdr:nvSpPr>
        <xdr:cNvPr id="9" name="Rectangle 8">
          <a:extLst>
            <a:ext uri="{FF2B5EF4-FFF2-40B4-BE49-F238E27FC236}">
              <a16:creationId xmlns:a16="http://schemas.microsoft.com/office/drawing/2014/main" id="{B18E3833-F91A-4A0E-8808-48A9439C2E1F}"/>
            </a:ext>
          </a:extLst>
        </xdr:cNvPr>
        <xdr:cNvSpPr/>
      </xdr:nvSpPr>
      <xdr:spPr>
        <a:xfrm>
          <a:off x="3200400" y="2717800"/>
          <a:ext cx="2844800" cy="965200"/>
        </a:xfrm>
        <a:prstGeom prst="rect">
          <a:avLst/>
        </a:prstGeom>
        <a:solidFill>
          <a:srgbClr val="FAFAFA"/>
        </a:solidFill>
        <a:ln>
          <a:solidFill>
            <a:srgbClr val="FAFAFA"/>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165100</xdr:colOff>
      <xdr:row>11</xdr:row>
      <xdr:rowOff>482600</xdr:rowOff>
    </xdr:from>
    <xdr:to>
      <xdr:col>11</xdr:col>
      <xdr:colOff>495300</xdr:colOff>
      <xdr:row>15</xdr:row>
      <xdr:rowOff>88900</xdr:rowOff>
    </xdr:to>
    <xdr:sp macro="" textlink="">
      <xdr:nvSpPr>
        <xdr:cNvPr id="10" name="Rectangle 9">
          <a:extLst>
            <a:ext uri="{FF2B5EF4-FFF2-40B4-BE49-F238E27FC236}">
              <a16:creationId xmlns:a16="http://schemas.microsoft.com/office/drawing/2014/main" id="{597DFBA6-286C-4734-8DAC-356AFBDDF243}"/>
            </a:ext>
          </a:extLst>
        </xdr:cNvPr>
        <xdr:cNvSpPr/>
      </xdr:nvSpPr>
      <xdr:spPr>
        <a:xfrm>
          <a:off x="6210300" y="2717800"/>
          <a:ext cx="3022600" cy="939800"/>
        </a:xfrm>
        <a:prstGeom prst="rect">
          <a:avLst/>
        </a:prstGeom>
        <a:solidFill>
          <a:srgbClr val="FAFAFA"/>
        </a:solidFill>
        <a:ln>
          <a:solidFill>
            <a:srgbClr val="FAFAFA"/>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3</xdr:col>
      <xdr:colOff>279400</xdr:colOff>
      <xdr:row>6</xdr:row>
      <xdr:rowOff>127000</xdr:rowOff>
    </xdr:from>
    <xdr:ext cx="1282700" cy="774699"/>
    <xdr:sp macro="" textlink="Sheet2!A6">
      <xdr:nvSpPr>
        <xdr:cNvPr id="11" name="TextBox 10">
          <a:extLst>
            <a:ext uri="{FF2B5EF4-FFF2-40B4-BE49-F238E27FC236}">
              <a16:creationId xmlns:a16="http://schemas.microsoft.com/office/drawing/2014/main" id="{771D8870-EFF6-F6F6-57EF-4B6E7B6712EF}"/>
            </a:ext>
          </a:extLst>
        </xdr:cNvPr>
        <xdr:cNvSpPr txBox="1"/>
      </xdr:nvSpPr>
      <xdr:spPr>
        <a:xfrm>
          <a:off x="3276600" y="1346200"/>
          <a:ext cx="1282700" cy="7746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865E7CCA-4DAF-4A61-8582-079D4D1AC057}"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b="1">
            <a:latin typeface="Segoe UI Black" panose="020B0A02040204020203" pitchFamily="34" charset="0"/>
            <a:ea typeface="Segoe UI Black" panose="020B0A02040204020203" pitchFamily="34" charset="0"/>
          </a:endParaRPr>
        </a:p>
      </xdr:txBody>
    </xdr:sp>
    <xdr:clientData/>
  </xdr:oneCellAnchor>
  <xdr:twoCellAnchor editAs="oneCell">
    <xdr:from>
      <xdr:col>0</xdr:col>
      <xdr:colOff>850900</xdr:colOff>
      <xdr:row>23</xdr:row>
      <xdr:rowOff>50800</xdr:rowOff>
    </xdr:from>
    <xdr:to>
      <xdr:col>2</xdr:col>
      <xdr:colOff>1143000</xdr:colOff>
      <xdr:row>31</xdr:row>
      <xdr:rowOff>25400</xdr:rowOff>
    </xdr:to>
    <mc:AlternateContent xmlns:mc="http://schemas.openxmlformats.org/markup-compatibility/2006" xmlns:a14="http://schemas.microsoft.com/office/drawing/2010/main">
      <mc:Choice Requires="a14">
        <xdr:graphicFrame macro="">
          <xdr:nvGraphicFramePr>
            <xdr:cNvPr id="12" name="Outlet Size 1">
              <a:extLst>
                <a:ext uri="{FF2B5EF4-FFF2-40B4-BE49-F238E27FC236}">
                  <a16:creationId xmlns:a16="http://schemas.microsoft.com/office/drawing/2014/main" id="{EC854528-18AF-4A30-B490-8802C83001AC}"/>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850900" y="5245100"/>
              <a:ext cx="2133600" cy="1600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xdr:col>
      <xdr:colOff>889000</xdr:colOff>
      <xdr:row>10</xdr:row>
      <xdr:rowOff>25400</xdr:rowOff>
    </xdr:from>
    <xdr:ext cx="1409700" cy="279400"/>
    <xdr:sp macro="" textlink="">
      <xdr:nvSpPr>
        <xdr:cNvPr id="14" name="TextBox 13">
          <a:extLst>
            <a:ext uri="{FF2B5EF4-FFF2-40B4-BE49-F238E27FC236}">
              <a16:creationId xmlns:a16="http://schemas.microsoft.com/office/drawing/2014/main" id="{D5DA4293-B77F-AA90-5834-42725929DF19}"/>
            </a:ext>
          </a:extLst>
        </xdr:cNvPr>
        <xdr:cNvSpPr txBox="1"/>
      </xdr:nvSpPr>
      <xdr:spPr>
        <a:xfrm>
          <a:off x="3886200" y="2057400"/>
          <a:ext cx="1409700" cy="279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400" b="1">
              <a:latin typeface="Segoe UI Black" panose="020B0A02040204020203" pitchFamily="34" charset="0"/>
              <a:ea typeface="Segoe UI Black" panose="020B0A02040204020203" pitchFamily="34" charset="0"/>
            </a:rPr>
            <a:t>TOTAL SALES</a:t>
          </a:r>
        </a:p>
      </xdr:txBody>
    </xdr:sp>
    <xdr:clientData/>
  </xdr:oneCellAnchor>
  <xdr:oneCellAnchor>
    <xdr:from>
      <xdr:col>6</xdr:col>
      <xdr:colOff>660400</xdr:colOff>
      <xdr:row>6</xdr:row>
      <xdr:rowOff>165100</xdr:rowOff>
    </xdr:from>
    <xdr:ext cx="1556331" cy="501740"/>
    <xdr:sp macro="" textlink="Sheet2!B6">
      <xdr:nvSpPr>
        <xdr:cNvPr id="15" name="TextBox 14">
          <a:extLst>
            <a:ext uri="{FF2B5EF4-FFF2-40B4-BE49-F238E27FC236}">
              <a16:creationId xmlns:a16="http://schemas.microsoft.com/office/drawing/2014/main" id="{A1928903-06DF-22BD-7E08-FC2F237A0922}"/>
            </a:ext>
          </a:extLst>
        </xdr:cNvPr>
        <xdr:cNvSpPr txBox="1"/>
      </xdr:nvSpPr>
      <xdr:spPr>
        <a:xfrm>
          <a:off x="6032500" y="1384300"/>
          <a:ext cx="1556331" cy="501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F869C78A-C568-4C23-8176-57296483E36D}"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algn="ctr"/>
            <a:t>$141M</a:t>
          </a:fld>
          <a:endParaRPr lang="en-IN" sz="2400" b="1">
            <a:latin typeface="Segoe UI Black" panose="020B0A02040204020203" pitchFamily="34" charset="0"/>
            <a:ea typeface="Segoe UI Black" panose="020B0A02040204020203" pitchFamily="34" charset="0"/>
          </a:endParaRPr>
        </a:p>
      </xdr:txBody>
    </xdr:sp>
    <xdr:clientData/>
  </xdr:oneCellAnchor>
  <xdr:twoCellAnchor>
    <xdr:from>
      <xdr:col>7</xdr:col>
      <xdr:colOff>635000</xdr:colOff>
      <xdr:row>9</xdr:row>
      <xdr:rowOff>76200</xdr:rowOff>
    </xdr:from>
    <xdr:to>
      <xdr:col>10</xdr:col>
      <xdr:colOff>203200</xdr:colOff>
      <xdr:row>11</xdr:row>
      <xdr:rowOff>127000</xdr:rowOff>
    </xdr:to>
    <xdr:sp macro="" textlink="">
      <xdr:nvSpPr>
        <xdr:cNvPr id="13" name="Text Box 1">
          <a:extLst>
            <a:ext uri="{FF2B5EF4-FFF2-40B4-BE49-F238E27FC236}">
              <a16:creationId xmlns:a16="http://schemas.microsoft.com/office/drawing/2014/main" id="{B3048180-1B71-425B-BACB-B2F847D9F3CC}"/>
            </a:ext>
          </a:extLst>
        </xdr:cNvPr>
        <xdr:cNvSpPr txBox="1">
          <a:spLocks noChangeArrowheads="1"/>
        </xdr:cNvSpPr>
      </xdr:nvSpPr>
      <xdr:spPr bwMode="auto">
        <a:xfrm flipH="1">
          <a:off x="6680200" y="1905000"/>
          <a:ext cx="1587500" cy="457200"/>
        </a:xfrm>
        <a:prstGeom prst="rect">
          <a:avLst/>
        </a:prstGeom>
        <a:noFill/>
        <a:ln w="9525">
          <a:noFill/>
          <a:miter lim="800000"/>
          <a:headEnd/>
          <a:tailEnd/>
        </a:ln>
      </xdr:spPr>
      <xdr:txBody>
        <a:bodyPr vertOverflow="clip" wrap="square" lIns="27432" tIns="22860" rIns="0" bIns="0" anchor="t" upright="1"/>
        <a:lstStyle/>
        <a:p>
          <a:pPr algn="ctr" rtl="0">
            <a:defRPr sz="1000"/>
          </a:pPr>
          <a:r>
            <a:rPr lang="en-IN" sz="1600" b="1" i="0" u="none" strike="noStrike" baseline="0">
              <a:solidFill>
                <a:srgbClr val="000000"/>
              </a:solidFill>
              <a:latin typeface="Segoe UI Black" panose="020B0A02040204020203" pitchFamily="34" charset="0"/>
              <a:ea typeface="Segoe UI Black" panose="020B0A02040204020203" pitchFamily="34" charset="0"/>
              <a:cs typeface="Calibri"/>
            </a:rPr>
            <a:t>AVERAGE SALE</a:t>
          </a:r>
        </a:p>
      </xdr:txBody>
    </xdr:sp>
    <xdr:clientData/>
  </xdr:twoCellAnchor>
  <xdr:oneCellAnchor>
    <xdr:from>
      <xdr:col>3</xdr:col>
      <xdr:colOff>25400</xdr:colOff>
      <xdr:row>11</xdr:row>
      <xdr:rowOff>431800</xdr:rowOff>
    </xdr:from>
    <xdr:ext cx="1556331" cy="501740"/>
    <xdr:sp macro="" textlink="Sheet2!C6">
      <xdr:nvSpPr>
        <xdr:cNvPr id="16" name="TextBox 15">
          <a:extLst>
            <a:ext uri="{FF2B5EF4-FFF2-40B4-BE49-F238E27FC236}">
              <a16:creationId xmlns:a16="http://schemas.microsoft.com/office/drawing/2014/main" id="{269D4F72-A7A4-4C3B-A0C8-4E0BBAD67214}"/>
            </a:ext>
          </a:extLst>
        </xdr:cNvPr>
        <xdr:cNvSpPr txBox="1"/>
      </xdr:nvSpPr>
      <xdr:spPr>
        <a:xfrm>
          <a:off x="3022600" y="2667000"/>
          <a:ext cx="1556331" cy="501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5913C86D-B94B-4766-9B27-54ABA35449AB}"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algn="ctr"/>
            <a:t>8523</a:t>
          </a:fld>
          <a:endParaRPr lang="en-IN" sz="2400" b="1">
            <a:latin typeface="Segoe UI Black" panose="020B0A02040204020203" pitchFamily="34" charset="0"/>
            <a:ea typeface="Segoe UI Black" panose="020B0A02040204020203" pitchFamily="34" charset="0"/>
          </a:endParaRPr>
        </a:p>
      </xdr:txBody>
    </xdr:sp>
    <xdr:clientData/>
  </xdr:oneCellAnchor>
  <xdr:oneCellAnchor>
    <xdr:from>
      <xdr:col>3</xdr:col>
      <xdr:colOff>571500</xdr:colOff>
      <xdr:row>13</xdr:row>
      <xdr:rowOff>4756</xdr:rowOff>
    </xdr:from>
    <xdr:ext cx="2146300" cy="365228"/>
    <xdr:sp macro="" textlink="Sheet2!B6">
      <xdr:nvSpPr>
        <xdr:cNvPr id="17" name="TextBox 16">
          <a:extLst>
            <a:ext uri="{FF2B5EF4-FFF2-40B4-BE49-F238E27FC236}">
              <a16:creationId xmlns:a16="http://schemas.microsoft.com/office/drawing/2014/main" id="{C2D1A654-4169-4890-827B-E12B905805CF}"/>
            </a:ext>
          </a:extLst>
        </xdr:cNvPr>
        <xdr:cNvSpPr txBox="1"/>
      </xdr:nvSpPr>
      <xdr:spPr>
        <a:xfrm>
          <a:off x="3568700" y="3167056"/>
          <a:ext cx="2146300" cy="365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600" b="1">
              <a:latin typeface="Segoe UI Black" panose="020B0A02040204020203" pitchFamily="34" charset="0"/>
              <a:ea typeface="Segoe UI Black" panose="020B0A02040204020203" pitchFamily="34" charset="0"/>
            </a:rPr>
            <a:t>TOTAL</a:t>
          </a:r>
          <a:r>
            <a:rPr lang="en-IN" sz="1600" b="1" baseline="0">
              <a:latin typeface="Segoe UI Black" panose="020B0A02040204020203" pitchFamily="34" charset="0"/>
              <a:ea typeface="Segoe UI Black" panose="020B0A02040204020203" pitchFamily="34" charset="0"/>
            </a:rPr>
            <a:t> QAUNTITY</a:t>
          </a:r>
          <a:endParaRPr lang="en-IN" sz="1600" b="1">
            <a:latin typeface="Segoe UI Black" panose="020B0A02040204020203" pitchFamily="34" charset="0"/>
            <a:ea typeface="Segoe UI Black" panose="020B0A02040204020203" pitchFamily="34" charset="0"/>
          </a:endParaRPr>
        </a:p>
      </xdr:txBody>
    </xdr:sp>
    <xdr:clientData/>
  </xdr:oneCellAnchor>
  <xdr:oneCellAnchor>
    <xdr:from>
      <xdr:col>7</xdr:col>
      <xdr:colOff>38101</xdr:colOff>
      <xdr:row>11</xdr:row>
      <xdr:rowOff>454507</xdr:rowOff>
    </xdr:from>
    <xdr:ext cx="1270000" cy="507127"/>
    <xdr:sp macro="" textlink="Sheet2!D6">
      <xdr:nvSpPr>
        <xdr:cNvPr id="18" name="TextBox 17">
          <a:extLst>
            <a:ext uri="{FF2B5EF4-FFF2-40B4-BE49-F238E27FC236}">
              <a16:creationId xmlns:a16="http://schemas.microsoft.com/office/drawing/2014/main" id="{29532CB3-B55D-4515-8B99-FF3E6DA7DDCB}"/>
            </a:ext>
          </a:extLst>
        </xdr:cNvPr>
        <xdr:cNvSpPr txBox="1"/>
      </xdr:nvSpPr>
      <xdr:spPr>
        <a:xfrm>
          <a:off x="6083301" y="2689707"/>
          <a:ext cx="1270000" cy="5071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943A7A2B-E54B-4B80-ABAE-363DFA742CEE}"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algn="ctr"/>
            <a:t>4.0</a:t>
          </a:fld>
          <a:endParaRPr lang="en-IN" sz="2400" b="1">
            <a:latin typeface="Segoe UI Black" panose="020B0A02040204020203" pitchFamily="34" charset="0"/>
            <a:ea typeface="Segoe UI Black" panose="020B0A02040204020203" pitchFamily="34" charset="0"/>
          </a:endParaRPr>
        </a:p>
      </xdr:txBody>
    </xdr:sp>
    <xdr:clientData/>
  </xdr:oneCellAnchor>
  <xdr:oneCellAnchor>
    <xdr:from>
      <xdr:col>7</xdr:col>
      <xdr:colOff>469900</xdr:colOff>
      <xdr:row>12</xdr:row>
      <xdr:rowOff>181053</xdr:rowOff>
    </xdr:from>
    <xdr:ext cx="2146300" cy="441247"/>
    <xdr:sp macro="" textlink="Sheet2!B6">
      <xdr:nvSpPr>
        <xdr:cNvPr id="19" name="TextBox 18">
          <a:extLst>
            <a:ext uri="{FF2B5EF4-FFF2-40B4-BE49-F238E27FC236}">
              <a16:creationId xmlns:a16="http://schemas.microsoft.com/office/drawing/2014/main" id="{8BCD1A62-330B-4794-8FE9-4435E7BBB6FC}"/>
            </a:ext>
          </a:extLst>
        </xdr:cNvPr>
        <xdr:cNvSpPr txBox="1"/>
      </xdr:nvSpPr>
      <xdr:spPr>
        <a:xfrm>
          <a:off x="6515100" y="3140153"/>
          <a:ext cx="2146300" cy="4412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600" b="1">
              <a:latin typeface="Segoe UI Black" panose="020B0A02040204020203" pitchFamily="34" charset="0"/>
              <a:ea typeface="Segoe UI Black" panose="020B0A02040204020203" pitchFamily="34" charset="0"/>
            </a:rPr>
            <a:t>AVERAGE</a:t>
          </a:r>
          <a:r>
            <a:rPr lang="en-IN" sz="1600" b="1" baseline="0">
              <a:latin typeface="Segoe UI Black" panose="020B0A02040204020203" pitchFamily="34" charset="0"/>
              <a:ea typeface="Segoe UI Black" panose="020B0A02040204020203" pitchFamily="34" charset="0"/>
            </a:rPr>
            <a:t> RATING</a:t>
          </a:r>
        </a:p>
        <a:p>
          <a:pPr algn="ctr"/>
          <a:endParaRPr lang="en-IN" sz="1600" b="1">
            <a:latin typeface="Segoe UI Black" panose="020B0A02040204020203" pitchFamily="34" charset="0"/>
            <a:ea typeface="Segoe UI Black" panose="020B0A02040204020203" pitchFamily="34" charset="0"/>
          </a:endParaRPr>
        </a:p>
      </xdr:txBody>
    </xdr:sp>
    <xdr:clientData/>
  </xdr:oneCellAnchor>
  <xdr:twoCellAnchor>
    <xdr:from>
      <xdr:col>3</xdr:col>
      <xdr:colOff>127000</xdr:colOff>
      <xdr:row>16</xdr:row>
      <xdr:rowOff>63500</xdr:rowOff>
    </xdr:from>
    <xdr:to>
      <xdr:col>11</xdr:col>
      <xdr:colOff>444500</xdr:colOff>
      <xdr:row>45</xdr:row>
      <xdr:rowOff>25400</xdr:rowOff>
    </xdr:to>
    <xdr:sp macro="" textlink="">
      <xdr:nvSpPr>
        <xdr:cNvPr id="20" name="Rectangle 19">
          <a:extLst>
            <a:ext uri="{FF2B5EF4-FFF2-40B4-BE49-F238E27FC236}">
              <a16:creationId xmlns:a16="http://schemas.microsoft.com/office/drawing/2014/main" id="{C36FD0F8-1E90-4FCB-B258-77FD12460CBC}"/>
            </a:ext>
          </a:extLst>
        </xdr:cNvPr>
        <xdr:cNvSpPr/>
      </xdr:nvSpPr>
      <xdr:spPr>
        <a:xfrm>
          <a:off x="3124200" y="3835400"/>
          <a:ext cx="6057900" cy="5854700"/>
        </a:xfrm>
        <a:prstGeom prst="rect">
          <a:avLst/>
        </a:prstGeom>
        <a:solidFill>
          <a:srgbClr val="FAFAFA"/>
        </a:solidFill>
        <a:ln>
          <a:solidFill>
            <a:srgbClr val="FAFAFA"/>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76200</xdr:colOff>
      <xdr:row>18</xdr:row>
      <xdr:rowOff>114300</xdr:rowOff>
    </xdr:from>
    <xdr:to>
      <xdr:col>6</xdr:col>
      <xdr:colOff>635000</xdr:colOff>
      <xdr:row>29</xdr:row>
      <xdr:rowOff>0</xdr:rowOff>
    </xdr:to>
    <xdr:graphicFrame macro="">
      <xdr:nvGraphicFramePr>
        <xdr:cNvPr id="22" name="Chart 21">
          <a:extLst>
            <a:ext uri="{FF2B5EF4-FFF2-40B4-BE49-F238E27FC236}">
              <a16:creationId xmlns:a16="http://schemas.microsoft.com/office/drawing/2014/main" id="{7127BDEE-6885-4A82-AEAA-5ECB69FE47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3</xdr:col>
      <xdr:colOff>279400</xdr:colOff>
      <xdr:row>16</xdr:row>
      <xdr:rowOff>114300</xdr:rowOff>
    </xdr:from>
    <xdr:ext cx="1625600" cy="365228"/>
    <xdr:sp macro="" textlink="Sheet2!W45">
      <xdr:nvSpPr>
        <xdr:cNvPr id="23" name="TextBox 22">
          <a:extLst>
            <a:ext uri="{FF2B5EF4-FFF2-40B4-BE49-F238E27FC236}">
              <a16:creationId xmlns:a16="http://schemas.microsoft.com/office/drawing/2014/main" id="{188A08CD-F244-4103-815A-AF29E503ACF6}"/>
            </a:ext>
          </a:extLst>
        </xdr:cNvPr>
        <xdr:cNvSpPr txBox="1"/>
      </xdr:nvSpPr>
      <xdr:spPr>
        <a:xfrm>
          <a:off x="3276600" y="3886200"/>
          <a:ext cx="1625600" cy="365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600" b="1" baseline="0">
              <a:latin typeface="Segoe UI Black" panose="020B0A02040204020203" pitchFamily="34" charset="0"/>
              <a:ea typeface="Segoe UI Black" panose="020B0A02040204020203" pitchFamily="34" charset="0"/>
            </a:rPr>
            <a:t>Fat Content</a:t>
          </a:r>
        </a:p>
      </xdr:txBody>
    </xdr:sp>
    <xdr:clientData/>
  </xdr:oneCellAnchor>
  <xdr:twoCellAnchor>
    <xdr:from>
      <xdr:col>7</xdr:col>
      <xdr:colOff>101600</xdr:colOff>
      <xdr:row>17</xdr:row>
      <xdr:rowOff>12700</xdr:rowOff>
    </xdr:from>
    <xdr:to>
      <xdr:col>7</xdr:col>
      <xdr:colOff>139700</xdr:colOff>
      <xdr:row>44</xdr:row>
      <xdr:rowOff>177800</xdr:rowOff>
    </xdr:to>
    <xdr:cxnSp macro="">
      <xdr:nvCxnSpPr>
        <xdr:cNvPr id="25" name="Straight Connector 24">
          <a:extLst>
            <a:ext uri="{FF2B5EF4-FFF2-40B4-BE49-F238E27FC236}">
              <a16:creationId xmlns:a16="http://schemas.microsoft.com/office/drawing/2014/main" id="{F5645FA7-19F9-1C53-D213-44D3BE2DB5C6}"/>
            </a:ext>
          </a:extLst>
        </xdr:cNvPr>
        <xdr:cNvCxnSpPr/>
      </xdr:nvCxnSpPr>
      <xdr:spPr>
        <a:xfrm>
          <a:off x="6146800" y="3987800"/>
          <a:ext cx="38100" cy="5651500"/>
        </a:xfrm>
        <a:prstGeom prst="line">
          <a:avLst/>
        </a:prstGeom>
        <a:ln w="15875">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317500</xdr:colOff>
      <xdr:row>28</xdr:row>
      <xdr:rowOff>76200</xdr:rowOff>
    </xdr:from>
    <xdr:to>
      <xdr:col>6</xdr:col>
      <xdr:colOff>495300</xdr:colOff>
      <xdr:row>28</xdr:row>
      <xdr:rowOff>88900</xdr:rowOff>
    </xdr:to>
    <xdr:cxnSp macro="">
      <xdr:nvCxnSpPr>
        <xdr:cNvPr id="28" name="Straight Connector 27">
          <a:extLst>
            <a:ext uri="{FF2B5EF4-FFF2-40B4-BE49-F238E27FC236}">
              <a16:creationId xmlns:a16="http://schemas.microsoft.com/office/drawing/2014/main" id="{72D16BD1-0C33-4323-9CF1-82D1C3033EDC}"/>
            </a:ext>
          </a:extLst>
        </xdr:cNvPr>
        <xdr:cNvCxnSpPr/>
      </xdr:nvCxnSpPr>
      <xdr:spPr>
        <a:xfrm flipV="1">
          <a:off x="3314700" y="6286500"/>
          <a:ext cx="2552700" cy="12700"/>
        </a:xfrm>
        <a:prstGeom prst="line">
          <a:avLst/>
        </a:prstGeom>
        <a:ln w="15875">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355600</xdr:colOff>
      <xdr:row>31</xdr:row>
      <xdr:rowOff>12700</xdr:rowOff>
    </xdr:from>
    <xdr:to>
      <xdr:col>6</xdr:col>
      <xdr:colOff>622300</xdr:colOff>
      <xdr:row>43</xdr:row>
      <xdr:rowOff>76200</xdr:rowOff>
    </xdr:to>
    <xdr:graphicFrame macro="">
      <xdr:nvGraphicFramePr>
        <xdr:cNvPr id="32" name="Chart 31">
          <a:extLst>
            <a:ext uri="{FF2B5EF4-FFF2-40B4-BE49-F238E27FC236}">
              <a16:creationId xmlns:a16="http://schemas.microsoft.com/office/drawing/2014/main" id="{132C4396-F566-410A-AFD8-47E45428CE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3</xdr:col>
      <xdr:colOff>203200</xdr:colOff>
      <xdr:row>28</xdr:row>
      <xdr:rowOff>101600</xdr:rowOff>
    </xdr:from>
    <xdr:ext cx="1625600" cy="454128"/>
    <xdr:sp macro="" textlink="Sheet2!W45">
      <xdr:nvSpPr>
        <xdr:cNvPr id="33" name="TextBox 32">
          <a:extLst>
            <a:ext uri="{FF2B5EF4-FFF2-40B4-BE49-F238E27FC236}">
              <a16:creationId xmlns:a16="http://schemas.microsoft.com/office/drawing/2014/main" id="{CCF31DCE-7CD1-4FB1-BE39-693F33834FD0}"/>
            </a:ext>
          </a:extLst>
        </xdr:cNvPr>
        <xdr:cNvSpPr txBox="1"/>
      </xdr:nvSpPr>
      <xdr:spPr>
        <a:xfrm>
          <a:off x="3200400" y="6311900"/>
          <a:ext cx="1625600" cy="4541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600" b="1" baseline="0">
              <a:latin typeface="Segoe UI Black" panose="020B0A02040204020203" pitchFamily="34" charset="0"/>
              <a:ea typeface="Segoe UI Black" panose="020B0A02040204020203" pitchFamily="34" charset="0"/>
            </a:rPr>
            <a:t>Fat By Outlet</a:t>
          </a:r>
        </a:p>
      </xdr:txBody>
    </xdr:sp>
    <xdr:clientData/>
  </xdr:oneCellAnchor>
  <xdr:oneCellAnchor>
    <xdr:from>
      <xdr:col>7</xdr:col>
      <xdr:colOff>266700</xdr:colOff>
      <xdr:row>16</xdr:row>
      <xdr:rowOff>25400</xdr:rowOff>
    </xdr:from>
    <xdr:ext cx="1625600" cy="365228"/>
    <xdr:sp macro="" textlink="Sheet2!W45">
      <xdr:nvSpPr>
        <xdr:cNvPr id="21" name="TextBox 20">
          <a:extLst>
            <a:ext uri="{FF2B5EF4-FFF2-40B4-BE49-F238E27FC236}">
              <a16:creationId xmlns:a16="http://schemas.microsoft.com/office/drawing/2014/main" id="{1E019BB5-5C3E-41A9-BCDC-3C43B48AEF3D}"/>
            </a:ext>
          </a:extLst>
        </xdr:cNvPr>
        <xdr:cNvSpPr txBox="1"/>
      </xdr:nvSpPr>
      <xdr:spPr>
        <a:xfrm>
          <a:off x="6311900" y="3797300"/>
          <a:ext cx="1625600" cy="365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600" b="1" baseline="0">
              <a:latin typeface="Segoe UI Black" panose="020B0A02040204020203" pitchFamily="34" charset="0"/>
              <a:ea typeface="Segoe UI Black" panose="020B0A02040204020203" pitchFamily="34" charset="0"/>
            </a:rPr>
            <a:t>Item Type</a:t>
          </a:r>
        </a:p>
      </xdr:txBody>
    </xdr:sp>
    <xdr:clientData/>
  </xdr:oneCellAnchor>
  <xdr:twoCellAnchor>
    <xdr:from>
      <xdr:col>7</xdr:col>
      <xdr:colOff>165100</xdr:colOff>
      <xdr:row>18</xdr:row>
      <xdr:rowOff>101600</xdr:rowOff>
    </xdr:from>
    <xdr:to>
      <xdr:col>11</xdr:col>
      <xdr:colOff>508000</xdr:colOff>
      <xdr:row>44</xdr:row>
      <xdr:rowOff>101600</xdr:rowOff>
    </xdr:to>
    <xdr:graphicFrame macro="">
      <xdr:nvGraphicFramePr>
        <xdr:cNvPr id="26" name="Chart 25">
          <a:extLst>
            <a:ext uri="{FF2B5EF4-FFF2-40B4-BE49-F238E27FC236}">
              <a16:creationId xmlns:a16="http://schemas.microsoft.com/office/drawing/2014/main" id="{4CCF1DC2-66A5-4EE0-86E5-7427D5B16C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622300</xdr:colOff>
      <xdr:row>7</xdr:row>
      <xdr:rowOff>0</xdr:rowOff>
    </xdr:from>
    <xdr:to>
      <xdr:col>20</xdr:col>
      <xdr:colOff>635000</xdr:colOff>
      <xdr:row>45</xdr:row>
      <xdr:rowOff>63500</xdr:rowOff>
    </xdr:to>
    <xdr:sp macro="" textlink="">
      <xdr:nvSpPr>
        <xdr:cNvPr id="30" name="Rectangle 29">
          <a:extLst>
            <a:ext uri="{FF2B5EF4-FFF2-40B4-BE49-F238E27FC236}">
              <a16:creationId xmlns:a16="http://schemas.microsoft.com/office/drawing/2014/main" id="{2FC14ECA-43DB-45E8-A483-60CBEEE96E4A}"/>
            </a:ext>
          </a:extLst>
        </xdr:cNvPr>
        <xdr:cNvSpPr/>
      </xdr:nvSpPr>
      <xdr:spPr>
        <a:xfrm flipV="1">
          <a:off x="9359900" y="1422400"/>
          <a:ext cx="6070600" cy="8305800"/>
        </a:xfrm>
        <a:prstGeom prst="rect">
          <a:avLst/>
        </a:prstGeom>
        <a:noFill/>
        <a:ln>
          <a:solidFill>
            <a:srgbClr val="FAFAFA"/>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12</xdr:col>
      <xdr:colOff>139700</xdr:colOff>
      <xdr:row>7</xdr:row>
      <xdr:rowOff>139700</xdr:rowOff>
    </xdr:from>
    <xdr:ext cx="2451100" cy="365228"/>
    <xdr:sp macro="" textlink="Sheet2!W45">
      <xdr:nvSpPr>
        <xdr:cNvPr id="31" name="TextBox 30">
          <a:extLst>
            <a:ext uri="{FF2B5EF4-FFF2-40B4-BE49-F238E27FC236}">
              <a16:creationId xmlns:a16="http://schemas.microsoft.com/office/drawing/2014/main" id="{6068747E-7632-4DFF-831D-FF5FFC5F150C}"/>
            </a:ext>
          </a:extLst>
        </xdr:cNvPr>
        <xdr:cNvSpPr txBox="1"/>
      </xdr:nvSpPr>
      <xdr:spPr>
        <a:xfrm>
          <a:off x="9550400" y="1562100"/>
          <a:ext cx="2451100" cy="365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600" b="1" baseline="0">
              <a:latin typeface="Segoe UI Black" panose="020B0A02040204020203" pitchFamily="34" charset="0"/>
              <a:ea typeface="Segoe UI Black" panose="020B0A02040204020203" pitchFamily="34" charset="0"/>
            </a:rPr>
            <a:t>Outlet Establishment</a:t>
          </a:r>
        </a:p>
      </xdr:txBody>
    </xdr:sp>
    <xdr:clientData/>
  </xdr:oneCellAnchor>
  <xdr:twoCellAnchor>
    <xdr:from>
      <xdr:col>12</xdr:col>
      <xdr:colOff>177800</xdr:colOff>
      <xdr:row>9</xdr:row>
      <xdr:rowOff>63500</xdr:rowOff>
    </xdr:from>
    <xdr:to>
      <xdr:col>20</xdr:col>
      <xdr:colOff>317500</xdr:colOff>
      <xdr:row>18</xdr:row>
      <xdr:rowOff>201930</xdr:rowOff>
    </xdr:to>
    <xdr:graphicFrame macro="">
      <xdr:nvGraphicFramePr>
        <xdr:cNvPr id="34" name="Chart 33">
          <a:extLst>
            <a:ext uri="{FF2B5EF4-FFF2-40B4-BE49-F238E27FC236}">
              <a16:creationId xmlns:a16="http://schemas.microsoft.com/office/drawing/2014/main" id="{C5B4D5B2-CD1B-40F9-ADD2-BF01D1013E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11</xdr:col>
      <xdr:colOff>330200</xdr:colOff>
      <xdr:row>20</xdr:row>
      <xdr:rowOff>152400</xdr:rowOff>
    </xdr:from>
    <xdr:ext cx="2451100" cy="365228"/>
    <xdr:sp macro="" textlink="Sheet2!W45">
      <xdr:nvSpPr>
        <xdr:cNvPr id="35" name="TextBox 34">
          <a:extLst>
            <a:ext uri="{FF2B5EF4-FFF2-40B4-BE49-F238E27FC236}">
              <a16:creationId xmlns:a16="http://schemas.microsoft.com/office/drawing/2014/main" id="{09A05323-9550-4ECD-BBDE-D7150F19EC13}"/>
            </a:ext>
          </a:extLst>
        </xdr:cNvPr>
        <xdr:cNvSpPr txBox="1"/>
      </xdr:nvSpPr>
      <xdr:spPr>
        <a:xfrm>
          <a:off x="9067800" y="4737100"/>
          <a:ext cx="2451100" cy="365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600" b="1" baseline="0">
              <a:latin typeface="Segoe UI Black" panose="020B0A02040204020203" pitchFamily="34" charset="0"/>
              <a:ea typeface="Segoe UI Black" panose="020B0A02040204020203" pitchFamily="34" charset="0"/>
            </a:rPr>
            <a:t>Outlet Size</a:t>
          </a:r>
        </a:p>
      </xdr:txBody>
    </xdr:sp>
    <xdr:clientData/>
  </xdr:oneCellAnchor>
  <xdr:twoCellAnchor>
    <xdr:from>
      <xdr:col>12</xdr:col>
      <xdr:colOff>254000</xdr:colOff>
      <xdr:row>23</xdr:row>
      <xdr:rowOff>0</xdr:rowOff>
    </xdr:from>
    <xdr:to>
      <xdr:col>16</xdr:col>
      <xdr:colOff>228600</xdr:colOff>
      <xdr:row>33</xdr:row>
      <xdr:rowOff>25400</xdr:rowOff>
    </xdr:to>
    <xdr:graphicFrame macro="">
      <xdr:nvGraphicFramePr>
        <xdr:cNvPr id="36" name="Chart 35">
          <a:extLst>
            <a:ext uri="{FF2B5EF4-FFF2-40B4-BE49-F238E27FC236}">
              <a16:creationId xmlns:a16="http://schemas.microsoft.com/office/drawing/2014/main" id="{ACAA4F54-5C72-4888-AE69-4820187DC3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152400</xdr:colOff>
      <xdr:row>20</xdr:row>
      <xdr:rowOff>88900</xdr:rowOff>
    </xdr:from>
    <xdr:to>
      <xdr:col>16</xdr:col>
      <xdr:colOff>190500</xdr:colOff>
      <xdr:row>33</xdr:row>
      <xdr:rowOff>76200</xdr:rowOff>
    </xdr:to>
    <xdr:cxnSp macro="">
      <xdr:nvCxnSpPr>
        <xdr:cNvPr id="38" name="Straight Connector 37">
          <a:extLst>
            <a:ext uri="{FF2B5EF4-FFF2-40B4-BE49-F238E27FC236}">
              <a16:creationId xmlns:a16="http://schemas.microsoft.com/office/drawing/2014/main" id="{63267515-E0BE-C5AC-05CC-B366AEDFE529}"/>
            </a:ext>
          </a:extLst>
        </xdr:cNvPr>
        <xdr:cNvCxnSpPr/>
      </xdr:nvCxnSpPr>
      <xdr:spPr>
        <a:xfrm>
          <a:off x="12255500" y="4673600"/>
          <a:ext cx="38100" cy="2628900"/>
        </a:xfrm>
        <a:prstGeom prst="line">
          <a:avLst/>
        </a:prstGeom>
        <a:ln>
          <a:solidFill>
            <a:schemeClr val="tx1">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101600</xdr:colOff>
      <xdr:row>33</xdr:row>
      <xdr:rowOff>63500</xdr:rowOff>
    </xdr:from>
    <xdr:to>
      <xdr:col>20</xdr:col>
      <xdr:colOff>355600</xdr:colOff>
      <xdr:row>33</xdr:row>
      <xdr:rowOff>63500</xdr:rowOff>
    </xdr:to>
    <xdr:cxnSp macro="">
      <xdr:nvCxnSpPr>
        <xdr:cNvPr id="48" name="Straight Connector 47">
          <a:extLst>
            <a:ext uri="{FF2B5EF4-FFF2-40B4-BE49-F238E27FC236}">
              <a16:creationId xmlns:a16="http://schemas.microsoft.com/office/drawing/2014/main" id="{EBA099F0-C77E-43B9-BCBA-C3F2D69BAD88}"/>
            </a:ext>
          </a:extLst>
        </xdr:cNvPr>
        <xdr:cNvCxnSpPr/>
      </xdr:nvCxnSpPr>
      <xdr:spPr>
        <a:xfrm>
          <a:off x="9512300" y="7289800"/>
          <a:ext cx="5638800" cy="0"/>
        </a:xfrm>
        <a:prstGeom prst="line">
          <a:avLst/>
        </a:prstGeom>
        <a:ln>
          <a:solidFill>
            <a:schemeClr val="tx1">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279400</xdr:colOff>
      <xdr:row>19</xdr:row>
      <xdr:rowOff>190500</xdr:rowOff>
    </xdr:from>
    <xdr:to>
      <xdr:col>20</xdr:col>
      <xdr:colOff>241300</xdr:colOff>
      <xdr:row>20</xdr:row>
      <xdr:rowOff>38100</xdr:rowOff>
    </xdr:to>
    <xdr:cxnSp macro="">
      <xdr:nvCxnSpPr>
        <xdr:cNvPr id="54" name="Straight Connector 53">
          <a:extLst>
            <a:ext uri="{FF2B5EF4-FFF2-40B4-BE49-F238E27FC236}">
              <a16:creationId xmlns:a16="http://schemas.microsoft.com/office/drawing/2014/main" id="{0A6618D2-AE40-45B8-B028-AA9DDDAB24D0}"/>
            </a:ext>
          </a:extLst>
        </xdr:cNvPr>
        <xdr:cNvCxnSpPr/>
      </xdr:nvCxnSpPr>
      <xdr:spPr>
        <a:xfrm flipV="1">
          <a:off x="9690100" y="4572000"/>
          <a:ext cx="5346700" cy="50800"/>
        </a:xfrm>
        <a:prstGeom prst="line">
          <a:avLst/>
        </a:prstGeom>
        <a:ln>
          <a:solidFill>
            <a:schemeClr val="tx1">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254000</xdr:colOff>
      <xdr:row>22</xdr:row>
      <xdr:rowOff>177800</xdr:rowOff>
    </xdr:from>
    <xdr:to>
      <xdr:col>20</xdr:col>
      <xdr:colOff>279400</xdr:colOff>
      <xdr:row>33</xdr:row>
      <xdr:rowOff>38100</xdr:rowOff>
    </xdr:to>
    <mc:AlternateContent xmlns:mc="http://schemas.openxmlformats.org/markup-compatibility/2006">
      <mc:Choice xmlns:cx2="http://schemas.microsoft.com/office/drawing/2015/10/21/chartex" Requires="cx2">
        <xdr:graphicFrame macro="">
          <xdr:nvGraphicFramePr>
            <xdr:cNvPr id="59" name="Chart 58">
              <a:extLst>
                <a:ext uri="{FF2B5EF4-FFF2-40B4-BE49-F238E27FC236}">
                  <a16:creationId xmlns:a16="http://schemas.microsoft.com/office/drawing/2014/main" id="{A7BB5F45-6788-4B55-A6CE-B8FA93FF28E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2324080" y="5062220"/>
              <a:ext cx="2707640" cy="20396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16</xdr:col>
      <xdr:colOff>546100</xdr:colOff>
      <xdr:row>20</xdr:row>
      <xdr:rowOff>177800</xdr:rowOff>
    </xdr:from>
    <xdr:ext cx="2451100" cy="365228"/>
    <xdr:sp macro="" textlink="Sheet2!W45">
      <xdr:nvSpPr>
        <xdr:cNvPr id="60" name="TextBox 59">
          <a:extLst>
            <a:ext uri="{FF2B5EF4-FFF2-40B4-BE49-F238E27FC236}">
              <a16:creationId xmlns:a16="http://schemas.microsoft.com/office/drawing/2014/main" id="{8C9642F5-1FB8-43F0-838A-EE172E6387DC}"/>
            </a:ext>
          </a:extLst>
        </xdr:cNvPr>
        <xdr:cNvSpPr txBox="1"/>
      </xdr:nvSpPr>
      <xdr:spPr>
        <a:xfrm>
          <a:off x="12649200" y="4762500"/>
          <a:ext cx="2451100" cy="365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600" b="1" baseline="0">
              <a:latin typeface="Segoe UI Black" panose="020B0A02040204020203" pitchFamily="34" charset="0"/>
              <a:ea typeface="Segoe UI Black" panose="020B0A02040204020203" pitchFamily="34" charset="0"/>
            </a:rPr>
            <a:t>Outlet Location</a:t>
          </a:r>
        </a:p>
      </xdr:txBody>
    </xdr:sp>
    <xdr:clientData/>
  </xdr:oneCellAnchor>
  <xdr:twoCellAnchor>
    <xdr:from>
      <xdr:col>11</xdr:col>
      <xdr:colOff>635000</xdr:colOff>
      <xdr:row>35</xdr:row>
      <xdr:rowOff>38100</xdr:rowOff>
    </xdr:from>
    <xdr:to>
      <xdr:col>15</xdr:col>
      <xdr:colOff>139700</xdr:colOff>
      <xdr:row>43</xdr:row>
      <xdr:rowOff>165100</xdr:rowOff>
    </xdr:to>
    <xdr:graphicFrame macro="">
      <xdr:nvGraphicFramePr>
        <xdr:cNvPr id="63" name="Chart 62">
          <a:extLst>
            <a:ext uri="{FF2B5EF4-FFF2-40B4-BE49-F238E27FC236}">
              <a16:creationId xmlns:a16="http://schemas.microsoft.com/office/drawing/2014/main" id="{3AEE725A-1B91-4EEE-B41F-CCE4026712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11</xdr:col>
      <xdr:colOff>558800</xdr:colOff>
      <xdr:row>33</xdr:row>
      <xdr:rowOff>190500</xdr:rowOff>
    </xdr:from>
    <xdr:ext cx="2451100" cy="365228"/>
    <xdr:sp macro="" textlink="Sheet2!W45">
      <xdr:nvSpPr>
        <xdr:cNvPr id="64" name="TextBox 63">
          <a:extLst>
            <a:ext uri="{FF2B5EF4-FFF2-40B4-BE49-F238E27FC236}">
              <a16:creationId xmlns:a16="http://schemas.microsoft.com/office/drawing/2014/main" id="{2B0DF0FC-4695-4013-94D8-1B5CA4D1BC35}"/>
            </a:ext>
          </a:extLst>
        </xdr:cNvPr>
        <xdr:cNvSpPr txBox="1"/>
      </xdr:nvSpPr>
      <xdr:spPr>
        <a:xfrm>
          <a:off x="9296400" y="7416800"/>
          <a:ext cx="2451100" cy="365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600" b="1" baseline="0">
              <a:latin typeface="Segoe UI Black" panose="020B0A02040204020203" pitchFamily="34" charset="0"/>
              <a:ea typeface="Segoe UI Black" panose="020B0A02040204020203" pitchFamily="34" charset="0"/>
            </a:rPr>
            <a:t>Outlet Type</a:t>
          </a:r>
        </a:p>
      </xdr:txBody>
    </xdr:sp>
    <xdr:clientData/>
  </xdr:oneCellAnchor>
  <xdr:twoCellAnchor>
    <xdr:from>
      <xdr:col>14</xdr:col>
      <xdr:colOff>495300</xdr:colOff>
      <xdr:row>35</xdr:row>
      <xdr:rowOff>190500</xdr:rowOff>
    </xdr:from>
    <xdr:to>
      <xdr:col>17</xdr:col>
      <xdr:colOff>533400</xdr:colOff>
      <xdr:row>44</xdr:row>
      <xdr:rowOff>0</xdr:rowOff>
    </xdr:to>
    <xdr:graphicFrame macro="">
      <xdr:nvGraphicFramePr>
        <xdr:cNvPr id="65" name="Chart 64">
          <a:extLst>
            <a:ext uri="{FF2B5EF4-FFF2-40B4-BE49-F238E27FC236}">
              <a16:creationId xmlns:a16="http://schemas.microsoft.com/office/drawing/2014/main" id="{5C5CD3AB-476D-4606-9575-E556A3239E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584200</xdr:colOff>
      <xdr:row>36</xdr:row>
      <xdr:rowOff>63500</xdr:rowOff>
    </xdr:from>
    <xdr:to>
      <xdr:col>20</xdr:col>
      <xdr:colOff>330200</xdr:colOff>
      <xdr:row>43</xdr:row>
      <xdr:rowOff>50800</xdr:rowOff>
    </xdr:to>
    <xdr:graphicFrame macro="">
      <xdr:nvGraphicFramePr>
        <xdr:cNvPr id="66" name="Chart 65">
          <a:extLst>
            <a:ext uri="{FF2B5EF4-FFF2-40B4-BE49-F238E27FC236}">
              <a16:creationId xmlns:a16="http://schemas.microsoft.com/office/drawing/2014/main" id="{1E99C2B2-AFED-408F-9BE8-1E7680FF28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eta Kawale" refreshedDate="46218.528393865738" createdVersion="8" refreshedVersion="8" minRefreshableVersion="3" recordCount="8523" xr:uid="{F0DBDCA5-F388-4F5F-B0DE-3E33A0E02308}">
  <cacheSource type="worksheet">
    <worksheetSource name="Table1"/>
  </cacheSource>
  <cacheFields count="13">
    <cacheField name="Item Fat Content" numFmtId="0">
      <sharedItems count="2">
        <s v="Regular"/>
        <s v="Low Fat"/>
      </sharedItems>
    </cacheField>
    <cacheField name="Sr.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3592469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30C2DA-18D3-4540-9BFC-B9AA2EF16F7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D3" firstHeaderRow="0" firstDataRow="1" firstDataCol="0"/>
  <pivotFields count="13">
    <pivotField showAll="0"/>
    <pivotField dataField="1" showAll="0"/>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3"/>
    <dataField name="Number of Items" fld="1" subtotal="count" baseField="0" baseItem="1"/>
    <dataField name="Average Rating" fld="12" subtotal="average" baseField="0" baseItem="3"/>
  </dataFields>
  <formats count="3">
    <format dxfId="2">
      <pivotArea type="all" dataOnly="0" outline="0" fieldPosition="0"/>
    </format>
    <format dxfId="1">
      <pivotArea outline="0" collapsedLevelsAreSubtotals="1" fieldPosition="0"/>
    </format>
    <format dxfId="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8F4FC0-CBC9-4825-A590-4BB843A1C094}"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18:C22"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3">
    <format dxfId="5">
      <pivotArea type="all" dataOnly="0" outline="0" fieldPosition="0"/>
    </format>
    <format dxfId="4">
      <pivotArea outline="0" collapsedLevelsAreSubtotals="1" fieldPosition="0"/>
    </format>
    <format dxfId="3">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8" format="0" series="1">
      <pivotArea type="data" outline="0" fieldPosition="0">
        <references count="2">
          <reference field="4294967294" count="1" selected="0">
            <x v="0"/>
          </reference>
          <reference field="0" count="1" selected="0">
            <x v="1"/>
          </reference>
        </references>
      </pivotArea>
    </chartFormat>
    <chartFormat chart="8" format="1" series="1">
      <pivotArea type="data" outline="0" fieldPosition="0">
        <references count="2">
          <reference field="4294967294" count="1" selected="0">
            <x v="0"/>
          </reference>
          <reference field="0" count="1" selected="0">
            <x v="0"/>
          </reference>
        </references>
      </pivotArea>
    </chartFormat>
    <chartFormat chart="10" format="4" series="1">
      <pivotArea type="data" outline="0" fieldPosition="0">
        <references count="2">
          <reference field="4294967294" count="1" selected="0">
            <x v="0"/>
          </reference>
          <reference field="0" count="1" selected="0">
            <x v="0"/>
          </reference>
        </references>
      </pivotArea>
    </chartFormat>
    <chartFormat chart="10"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852184-B878-43D7-A0DE-319D2C2738E9}"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A78:B81"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7"/>
  </dataFields>
  <formats count="8">
    <format dxfId="13">
      <pivotArea type="all" dataOnly="0" outline="0" fieldPosition="0"/>
    </format>
    <format dxfId="12">
      <pivotArea outline="0" collapsedLevelsAreSubtotals="1" fieldPosition="0"/>
    </format>
    <format dxfId="11">
      <pivotArea outline="0" collapsedLevelsAreSubtotals="1" fieldPosition="0"/>
    </format>
    <format dxfId="10">
      <pivotArea type="all" dataOnly="0" outline="0" fieldPosition="0"/>
    </format>
    <format dxfId="9">
      <pivotArea outline="0" collapsedLevelsAreSubtotals="1" fieldPosition="0"/>
    </format>
    <format dxfId="8">
      <pivotArea field="6" type="button" dataOnly="0" labelOnly="1" outline="0" axis="axisRow" fieldPosition="0"/>
    </format>
    <format dxfId="7">
      <pivotArea dataOnly="0" labelOnly="1" fieldPosition="0">
        <references count="1">
          <reference field="6" count="0"/>
        </references>
      </pivotArea>
    </format>
    <format dxfId="6">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61640C-C12B-402D-94C7-EAF549120E04}"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11:B13" firstHeaderRow="1" firstDataRow="1" firstDataCol="1"/>
  <pivotFields count="13">
    <pivotField axis="axisRow" showAll="0">
      <items count="3">
        <item x="1"/>
        <item x="0"/>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3">
    <format dxfId="16">
      <pivotArea type="all" dataOnly="0" outline="0" fieldPosition="0"/>
    </format>
    <format dxfId="15">
      <pivotArea outline="0" collapsedLevelsAreSubtotals="1" fieldPosition="0"/>
    </format>
    <format dxfId="14">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0"/>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FD01A4-0843-448C-B790-F7711E09386E}"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A67:B70"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8">
    <format dxfId="24">
      <pivotArea type="all" dataOnly="0" outline="0" fieldPosition="0"/>
    </format>
    <format dxfId="23">
      <pivotArea outline="0" collapsedLevelsAreSubtotals="1" fieldPosition="0"/>
    </format>
    <format dxfId="22">
      <pivotArea outline="0" collapsedLevelsAreSubtotals="1" fieldPosition="0"/>
    </format>
    <format dxfId="21">
      <pivotArea type="all" dataOnly="0" outline="0" fieldPosition="0"/>
    </format>
    <format dxfId="20">
      <pivotArea outline="0" collapsedLevelsAreSubtotals="1" fieldPosition="0"/>
    </format>
    <format dxfId="19">
      <pivotArea field="7" type="button" dataOnly="0" labelOnly="1" outline="0" axis="axisRow" fieldPosition="0"/>
    </format>
    <format dxfId="18">
      <pivotArea dataOnly="0" labelOnly="1" fieldPosition="0">
        <references count="1">
          <reference field="7" count="0"/>
        </references>
      </pivotArea>
    </format>
    <format dxfId="17">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7" count="1" selected="0">
            <x v="0"/>
          </reference>
        </references>
      </pivotArea>
    </chartFormat>
    <chartFormat chart="24" format="7">
      <pivotArea type="data" outline="0" fieldPosition="0">
        <references count="2">
          <reference field="4294967294" count="1" selected="0">
            <x v="0"/>
          </reference>
          <reference field="7" count="1" selected="0">
            <x v="1"/>
          </reference>
        </references>
      </pivotArea>
    </chartFormat>
    <chartFormat chart="24"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68BEB9-CB84-45B4-87B5-869BB0E9B6A5}"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A50:B59"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8">
    <format dxfId="32">
      <pivotArea type="all" dataOnly="0" outline="0" fieldPosition="0"/>
    </format>
    <format dxfId="31">
      <pivotArea outline="0" collapsedLevelsAreSubtotals="1" fieldPosition="0"/>
    </format>
    <format dxfId="30">
      <pivotArea outline="0" collapsedLevelsAreSubtotals="1" fieldPosition="0"/>
    </format>
    <format dxfId="29">
      <pivotArea type="all" dataOnly="0" outline="0" fieldPosition="0"/>
    </format>
    <format dxfId="28">
      <pivotArea outline="0" collapsedLevelsAreSubtotals="1" fieldPosition="0"/>
    </format>
    <format dxfId="27">
      <pivotArea field="4" type="button" dataOnly="0" labelOnly="1" outline="0" axis="axisRow" fieldPosition="0"/>
    </format>
    <format dxfId="26">
      <pivotArea dataOnly="0" labelOnly="1" fieldPosition="0">
        <references count="1">
          <reference field="4" count="0"/>
        </references>
      </pivotArea>
    </format>
    <format dxfId="25">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4" count="1" selected="0">
            <x v="0"/>
          </reference>
        </references>
      </pivotArea>
    </chartFormat>
    <chartFormat chart="19" format="4">
      <pivotArea type="data" outline="0" fieldPosition="0">
        <references count="2">
          <reference field="4294967294" count="1" selected="0">
            <x v="0"/>
          </reference>
          <reference field="4" count="1" selected="0">
            <x v="1"/>
          </reference>
        </references>
      </pivotArea>
    </chartFormat>
    <chartFormat chart="19" format="5">
      <pivotArea type="data" outline="0" fieldPosition="0">
        <references count="2">
          <reference field="4294967294" count="1" selected="0">
            <x v="0"/>
          </reference>
          <reference field="4" count="1" selected="0">
            <x v="3"/>
          </reference>
        </references>
      </pivotArea>
    </chartFormat>
    <chartFormat chart="19" format="6">
      <pivotArea type="data" outline="0" fieldPosition="0">
        <references count="2">
          <reference field="4294967294" count="1" selected="0">
            <x v="0"/>
          </reference>
          <reference field="4" count="1" selected="0">
            <x v="2"/>
          </reference>
        </references>
      </pivotArea>
    </chartFormat>
    <chartFormat chart="19" format="7">
      <pivotArea type="data" outline="0" fieldPosition="0">
        <references count="2">
          <reference field="4294967294" count="1" selected="0">
            <x v="0"/>
          </reference>
          <reference field="4" count="1" selected="0">
            <x v="4"/>
          </reference>
        </references>
      </pivotArea>
    </chartFormat>
    <chartFormat chart="19" format="8">
      <pivotArea type="data" outline="0" fieldPosition="0">
        <references count="2">
          <reference field="4294967294" count="1" selected="0">
            <x v="0"/>
          </reference>
          <reference field="4" count="1" selected="0">
            <x v="5"/>
          </reference>
        </references>
      </pivotArea>
    </chartFormat>
    <chartFormat chart="19" format="9">
      <pivotArea type="data" outline="0" fieldPosition="0">
        <references count="2">
          <reference field="4294967294" count="1" selected="0">
            <x v="0"/>
          </reference>
          <reference field="4" count="1" selected="0">
            <x v="6"/>
          </reference>
        </references>
      </pivotArea>
    </chartFormat>
    <chartFormat chart="19" format="10">
      <pivotArea type="data" outline="0" fieldPosition="0">
        <references count="2">
          <reference field="4294967294" count="1" selected="0">
            <x v="0"/>
          </reference>
          <reference field="4" count="1" selected="0">
            <x v="7"/>
          </reference>
        </references>
      </pivotArea>
    </chartFormat>
    <chartFormat chart="19"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4876BDC-8D2D-4096-8DE3-48C7C24F4008}"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A115:B119"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no" fld="1" subtotal="count" baseField="8" baseItem="0"/>
  </dataFields>
  <formats count="9">
    <format dxfId="41">
      <pivotArea type="all" dataOnly="0" outline="0" fieldPosition="0"/>
    </format>
    <format dxfId="40">
      <pivotArea outline="0" collapsedLevelsAreSubtotals="1" fieldPosition="0"/>
    </format>
    <format dxfId="39">
      <pivotArea outline="0" collapsedLevelsAreSubtotals="1" fieldPosition="0"/>
    </format>
    <format dxfId="38">
      <pivotArea type="all" dataOnly="0" outline="0" fieldPosition="0"/>
    </format>
    <format dxfId="37">
      <pivotArea outline="0" collapsedLevelsAreSubtotals="1" fieldPosition="0"/>
    </format>
    <format dxfId="36">
      <pivotArea field="6" type="button" dataOnly="0" labelOnly="1" outline="0"/>
    </format>
    <format dxfId="35">
      <pivotArea dataOnly="0" labelOnly="1" outline="0" axis="axisValues" fieldPosition="0"/>
    </format>
    <format dxfId="34">
      <pivotArea collapsedLevelsAreSubtotals="1" fieldPosition="0">
        <references count="1">
          <reference field="8" count="1">
            <x v="2"/>
          </reference>
        </references>
      </pivotArea>
    </format>
    <format dxfId="33">
      <pivotArea outline="0" collapsedLevelsAreSubtotals="1" fieldPosition="0"/>
    </format>
  </formats>
  <chartFormats count="6">
    <chartFormat chart="31"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3" format="3">
      <pivotArea type="data" outline="0" fieldPosition="0">
        <references count="2">
          <reference field="4294967294" count="1" selected="0">
            <x v="0"/>
          </reference>
          <reference field="8" count="1" selected="0">
            <x v="2"/>
          </reference>
        </references>
      </pivotArea>
    </chartFormat>
    <chartFormat chart="33" format="4">
      <pivotArea type="data" outline="0" fieldPosition="0">
        <references count="2">
          <reference field="4294967294" count="1" selected="0">
            <x v="0"/>
          </reference>
          <reference field="8" count="1" selected="0">
            <x v="3"/>
          </reference>
        </references>
      </pivotArea>
    </chartFormat>
    <chartFormat chart="33" format="5">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00D1927-B938-44C5-B9FC-A9AFF3EFB8CB}"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A105:B109"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2" numFmtId="168"/>
  </dataFields>
  <formats count="8">
    <format dxfId="49">
      <pivotArea type="all" dataOnly="0" outline="0" fieldPosition="0"/>
    </format>
    <format dxfId="48">
      <pivotArea outline="0" collapsedLevelsAreSubtotals="1" fieldPosition="0"/>
    </format>
    <format dxfId="47">
      <pivotArea outline="0" collapsedLevelsAreSubtotals="1" fieldPosition="0"/>
    </format>
    <format dxfId="46">
      <pivotArea type="all" dataOnly="0" outline="0" fieldPosition="0"/>
    </format>
    <format dxfId="45">
      <pivotArea outline="0" collapsedLevelsAreSubtotals="1" fieldPosition="0"/>
    </format>
    <format dxfId="44">
      <pivotArea field="6" type="button" dataOnly="0" labelOnly="1" outline="0"/>
    </format>
    <format dxfId="43">
      <pivotArea dataOnly="0" labelOnly="1" outline="0" axis="axisValues" fieldPosition="0"/>
    </format>
    <format dxfId="42">
      <pivotArea outline="0" collapsedLevelsAreSubtotals="1" fieldPosition="0"/>
    </format>
  </formats>
  <chartFormats count="17">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0" format="3">
      <pivotArea type="data" outline="0" fieldPosition="0">
        <references count="2">
          <reference field="4294967294" count="1" selected="0">
            <x v="0"/>
          </reference>
          <reference field="8" count="1" selected="0">
            <x v="2"/>
          </reference>
        </references>
      </pivotArea>
    </chartFormat>
    <chartFormat chart="30" format="4">
      <pivotArea type="data" outline="0" fieldPosition="0">
        <references count="2">
          <reference field="4294967294" count="1" selected="0">
            <x v="0"/>
          </reference>
          <reference field="8" count="1" selected="0">
            <x v="1"/>
          </reference>
        </references>
      </pivotArea>
    </chartFormat>
    <chartFormat chart="30" format="5">
      <pivotArea type="data" outline="0" fieldPosition="0">
        <references count="2">
          <reference field="4294967294" count="1" selected="0">
            <x v="0"/>
          </reference>
          <reference field="8" count="1" selected="0">
            <x v="0"/>
          </reference>
        </references>
      </pivotArea>
    </chartFormat>
    <chartFormat chart="30" format="6">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C9E3F1D-4939-4F65-9D7F-FBDE6893C629}"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29:B45"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3">
    <format dxfId="52">
      <pivotArea type="all" dataOnly="0" outline="0" fieldPosition="0"/>
    </format>
    <format dxfId="51">
      <pivotArea outline="0" collapsedLevelsAreSubtotals="1" fieldPosition="0"/>
    </format>
    <format dxfId="5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FF1391D-422E-4662-9E2B-BDADA7570572}"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A96:B100"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7">
    <format dxfId="59">
      <pivotArea type="all" dataOnly="0" outline="0" fieldPosition="0"/>
    </format>
    <format dxfId="58">
      <pivotArea outline="0" collapsedLevelsAreSubtotals="1" fieldPosition="0"/>
    </format>
    <format dxfId="57">
      <pivotArea outline="0" collapsedLevelsAreSubtotals="1" fieldPosition="0"/>
    </format>
    <format dxfId="56">
      <pivotArea type="all" dataOnly="0" outline="0" fieldPosition="0"/>
    </format>
    <format dxfId="55">
      <pivotArea outline="0" collapsedLevelsAreSubtotals="1" fieldPosition="0"/>
    </format>
    <format dxfId="54">
      <pivotArea field="6" type="button" dataOnly="0" labelOnly="1" outline="0"/>
    </format>
    <format dxfId="53">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7"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AAECEAF7-E869-45D9-BB53-8A4022D900B6}" sourceName="Outlet Siz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s>
  <data>
    <tabular pivotCacheId="1359246904">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19AB488A-9040-4117-BEF6-DCC7856A14F5}" cache="Slicer_Outlet_Size" caption="Outlet Siz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861C3441-CC54-494B-B69B-FD09B7B72C08}" cache="Slicer_Outlet_Size" caption="Outlet Size"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A90C0DD7-5257-4830-8175-7F29980680AB}" name="Sr.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D452D-03DB-4C82-9C9B-7499D3B88A7E}">
  <dimension ref="A1:H119"/>
  <sheetViews>
    <sheetView topLeftCell="A14" workbookViewId="0">
      <selection activeCell="A115" sqref="A115:B119"/>
    </sheetView>
  </sheetViews>
  <sheetFormatPr defaultRowHeight="15.6" x14ac:dyDescent="0.3"/>
  <cols>
    <col min="1" max="1" width="17.296875" bestFit="1" customWidth="1"/>
    <col min="2" max="2" width="13.09765625" bestFit="1" customWidth="1"/>
    <col min="3" max="3" width="8.3984375" bestFit="1" customWidth="1"/>
    <col min="4" max="4" width="13.5" bestFit="1" customWidth="1"/>
    <col min="11" max="11" width="23.5" bestFit="1" customWidth="1"/>
  </cols>
  <sheetData>
    <row r="1" spans="1:4" ht="16.2" thickBot="1" x14ac:dyDescent="0.35">
      <c r="A1" s="10" t="s">
        <v>1619</v>
      </c>
      <c r="B1" s="10"/>
      <c r="C1" s="11"/>
      <c r="D1" s="11"/>
    </row>
    <row r="2" spans="1:4" ht="16.2" thickBot="1" x14ac:dyDescent="0.35">
      <c r="A2" s="13" t="s">
        <v>1611</v>
      </c>
      <c r="B2" s="14" t="s">
        <v>1614</v>
      </c>
      <c r="C2" s="14" t="s">
        <v>1613</v>
      </c>
      <c r="D2" s="15" t="s">
        <v>1615</v>
      </c>
    </row>
    <row r="3" spans="1:4" ht="16.2" thickBot="1" x14ac:dyDescent="0.35">
      <c r="A3" s="13">
        <v>1201681.4928000034</v>
      </c>
      <c r="B3" s="14">
        <v>140.99278338613203</v>
      </c>
      <c r="C3" s="14">
        <v>8523</v>
      </c>
      <c r="D3" s="15">
        <v>3.9658570925731196</v>
      </c>
    </row>
    <row r="4" spans="1:4" x14ac:dyDescent="0.3">
      <c r="A4" s="3"/>
      <c r="D4" s="4"/>
    </row>
    <row r="5" spans="1:4" x14ac:dyDescent="0.3">
      <c r="A5" s="5" t="s">
        <v>1617</v>
      </c>
      <c r="B5" s="6" t="s">
        <v>1614</v>
      </c>
      <c r="C5" s="6" t="s">
        <v>1618</v>
      </c>
      <c r="D5" s="7" t="s">
        <v>1615</v>
      </c>
    </row>
    <row r="6" spans="1:4" ht="16.2" thickBot="1" x14ac:dyDescent="0.35">
      <c r="A6" s="16">
        <f>GETPIVOTDATA("Sum of Sales",$A$2)</f>
        <v>1201681.4928000034</v>
      </c>
      <c r="B6" s="12">
        <f>GETPIVOTDATA("Average Sales",$A$2)</f>
        <v>140.99278338613203</v>
      </c>
      <c r="C6" s="8">
        <f>GETPIVOTDATA("Number of Items",$A$2)</f>
        <v>8523</v>
      </c>
      <c r="D6" s="9">
        <f>GETPIVOTDATA("Average Rating",$A$2)</f>
        <v>3.9658570925731196</v>
      </c>
    </row>
    <row r="10" spans="1:4" ht="16.2" thickBot="1" x14ac:dyDescent="0.35">
      <c r="A10" s="47" t="s">
        <v>1622</v>
      </c>
      <c r="B10" s="47"/>
    </row>
    <row r="11" spans="1:4" ht="16.2" thickBot="1" x14ac:dyDescent="0.35">
      <c r="A11" s="18" t="s">
        <v>1621</v>
      </c>
      <c r="B11" s="17" t="s">
        <v>1611</v>
      </c>
    </row>
    <row r="12" spans="1:4" x14ac:dyDescent="0.3">
      <c r="A12" s="19" t="s">
        <v>17</v>
      </c>
      <c r="B12" s="21">
        <v>776319.68840000057</v>
      </c>
    </row>
    <row r="13" spans="1:4" ht="16.2" thickBot="1" x14ac:dyDescent="0.35">
      <c r="A13" s="20" t="s">
        <v>10</v>
      </c>
      <c r="B13" s="22">
        <v>425361.8043999995</v>
      </c>
    </row>
    <row r="17" spans="1:3" ht="16.2" thickBot="1" x14ac:dyDescent="0.35">
      <c r="A17" s="48" t="s">
        <v>1623</v>
      </c>
      <c r="B17" s="48"/>
    </row>
    <row r="18" spans="1:3" x14ac:dyDescent="0.3">
      <c r="A18" s="18" t="s">
        <v>1611</v>
      </c>
      <c r="B18" s="25" t="s">
        <v>1624</v>
      </c>
      <c r="C18" s="17"/>
    </row>
    <row r="19" spans="1:3" ht="16.2" thickBot="1" x14ac:dyDescent="0.35">
      <c r="A19" s="26" t="s">
        <v>1621</v>
      </c>
      <c r="B19" t="s">
        <v>10</v>
      </c>
      <c r="C19" s="4" t="s">
        <v>17</v>
      </c>
    </row>
    <row r="20" spans="1:3" x14ac:dyDescent="0.3">
      <c r="A20" s="19" t="s">
        <v>14</v>
      </c>
      <c r="B20" s="27">
        <v>121349.89940000001</v>
      </c>
      <c r="C20" s="28">
        <v>215047.9126000001</v>
      </c>
    </row>
    <row r="21" spans="1:3" x14ac:dyDescent="0.3">
      <c r="A21" s="19" t="s">
        <v>34</v>
      </c>
      <c r="B21" s="29">
        <v>138685.86819999994</v>
      </c>
      <c r="C21" s="23">
        <v>254464.77940000014</v>
      </c>
    </row>
    <row r="22" spans="1:3" ht="16.2" thickBot="1" x14ac:dyDescent="0.35">
      <c r="A22" s="20" t="s">
        <v>21</v>
      </c>
      <c r="B22" s="30">
        <v>165326.0368</v>
      </c>
      <c r="C22" s="24">
        <v>306806.99640000012</v>
      </c>
    </row>
    <row r="26" spans="1:3" ht="16.2" thickBot="1" x14ac:dyDescent="0.35"/>
    <row r="28" spans="1:3" ht="16.2" thickBot="1" x14ac:dyDescent="0.35"/>
    <row r="29" spans="1:3" ht="16.2" thickBot="1" x14ac:dyDescent="0.35">
      <c r="A29" s="18" t="s">
        <v>1621</v>
      </c>
      <c r="B29" s="17" t="s">
        <v>1611</v>
      </c>
    </row>
    <row r="30" spans="1:3" x14ac:dyDescent="0.3">
      <c r="A30" s="19" t="s">
        <v>153</v>
      </c>
      <c r="B30" s="21">
        <v>9077.869999999999</v>
      </c>
    </row>
    <row r="31" spans="1:3" x14ac:dyDescent="0.3">
      <c r="A31" s="19" t="s">
        <v>74</v>
      </c>
      <c r="B31" s="32">
        <v>15596.696600000001</v>
      </c>
    </row>
    <row r="32" spans="1:3" x14ac:dyDescent="0.3">
      <c r="A32" s="19" t="s">
        <v>159</v>
      </c>
      <c r="B32" s="32">
        <v>21880.027399999992</v>
      </c>
    </row>
    <row r="33" spans="1:2" x14ac:dyDescent="0.3">
      <c r="A33" s="19" t="s">
        <v>64</v>
      </c>
      <c r="B33" s="32">
        <v>22451.891599999999</v>
      </c>
    </row>
    <row r="34" spans="1:2" x14ac:dyDescent="0.3">
      <c r="A34" s="19" t="s">
        <v>61</v>
      </c>
      <c r="B34" s="32">
        <v>29334.680599999996</v>
      </c>
    </row>
    <row r="35" spans="1:2" x14ac:dyDescent="0.3">
      <c r="A35" s="19" t="s">
        <v>57</v>
      </c>
      <c r="B35" s="32">
        <v>35379.119800000015</v>
      </c>
    </row>
    <row r="36" spans="1:2" x14ac:dyDescent="0.3">
      <c r="A36" s="19" t="s">
        <v>32</v>
      </c>
      <c r="B36" s="32">
        <v>58514.166999999987</v>
      </c>
    </row>
    <row r="37" spans="1:2" x14ac:dyDescent="0.3">
      <c r="A37" s="19" t="s">
        <v>54</v>
      </c>
      <c r="B37" s="32">
        <v>59449.863799999992</v>
      </c>
    </row>
    <row r="38" spans="1:2" x14ac:dyDescent="0.3">
      <c r="A38" s="19" t="s">
        <v>19</v>
      </c>
      <c r="B38" s="32">
        <v>68025.838800000012</v>
      </c>
    </row>
    <row r="39" spans="1:2" x14ac:dyDescent="0.3">
      <c r="A39" s="19" t="s">
        <v>95</v>
      </c>
      <c r="B39" s="32">
        <v>81894.736400000009</v>
      </c>
    </row>
    <row r="40" spans="1:2" x14ac:dyDescent="0.3">
      <c r="A40" s="19" t="s">
        <v>28</v>
      </c>
      <c r="B40" s="32">
        <v>90706.728999999992</v>
      </c>
    </row>
    <row r="41" spans="1:2" x14ac:dyDescent="0.3">
      <c r="A41" s="19" t="s">
        <v>67</v>
      </c>
      <c r="B41" s="32">
        <v>101276.46159999995</v>
      </c>
    </row>
    <row r="42" spans="1:2" x14ac:dyDescent="0.3">
      <c r="A42" s="19" t="s">
        <v>24</v>
      </c>
      <c r="B42" s="32">
        <v>118558.88140000009</v>
      </c>
    </row>
    <row r="43" spans="1:2" x14ac:dyDescent="0.3">
      <c r="A43" s="19" t="s">
        <v>42</v>
      </c>
      <c r="B43" s="32">
        <v>135976.52539999998</v>
      </c>
    </row>
    <row r="44" spans="1:2" x14ac:dyDescent="0.3">
      <c r="A44" s="19" t="s">
        <v>48</v>
      </c>
      <c r="B44" s="32">
        <v>175433.92240000021</v>
      </c>
    </row>
    <row r="45" spans="1:2" ht="16.2" thickBot="1" x14ac:dyDescent="0.35">
      <c r="A45" s="20" t="s">
        <v>12</v>
      </c>
      <c r="B45" s="22">
        <v>178124.08099999995</v>
      </c>
    </row>
    <row r="48" spans="1:2" ht="16.2" thickBot="1" x14ac:dyDescent="0.35"/>
    <row r="49" spans="1:8" ht="16.2" thickBot="1" x14ac:dyDescent="0.35">
      <c r="A49" s="49" t="s">
        <v>1625</v>
      </c>
      <c r="B49" s="50"/>
      <c r="C49" s="50"/>
      <c r="D49" s="31"/>
      <c r="E49" s="31"/>
      <c r="F49" s="31"/>
      <c r="G49" s="31"/>
      <c r="H49" s="17"/>
    </row>
    <row r="50" spans="1:8" ht="16.2" thickBot="1" x14ac:dyDescent="0.35">
      <c r="A50" s="37" t="s">
        <v>1621</v>
      </c>
      <c r="B50" s="36" t="s">
        <v>1611</v>
      </c>
      <c r="H50" s="4"/>
    </row>
    <row r="51" spans="1:8" x14ac:dyDescent="0.3">
      <c r="A51" s="41">
        <v>2011</v>
      </c>
      <c r="B51" s="21">
        <v>78131.566599999976</v>
      </c>
      <c r="H51" s="4"/>
    </row>
    <row r="52" spans="1:8" x14ac:dyDescent="0.3">
      <c r="A52" s="42">
        <v>2012</v>
      </c>
      <c r="B52" s="32">
        <v>130476.85979999998</v>
      </c>
      <c r="H52" s="4"/>
    </row>
    <row r="53" spans="1:8" x14ac:dyDescent="0.3">
      <c r="A53" s="42">
        <v>2014</v>
      </c>
      <c r="B53" s="32">
        <v>131809.01560000007</v>
      </c>
      <c r="H53" s="4"/>
    </row>
    <row r="54" spans="1:8" x14ac:dyDescent="0.3">
      <c r="A54" s="42">
        <v>2015</v>
      </c>
      <c r="B54" s="32">
        <v>130942.78019999999</v>
      </c>
      <c r="H54" s="4"/>
    </row>
    <row r="55" spans="1:8" x14ac:dyDescent="0.3">
      <c r="A55" s="42">
        <v>2016</v>
      </c>
      <c r="B55" s="32">
        <v>132113.36980000007</v>
      </c>
      <c r="H55" s="4"/>
    </row>
    <row r="56" spans="1:8" x14ac:dyDescent="0.3">
      <c r="A56" s="42">
        <v>2017</v>
      </c>
      <c r="B56" s="32">
        <v>133103.90699999989</v>
      </c>
      <c r="H56" s="4"/>
    </row>
    <row r="57" spans="1:8" x14ac:dyDescent="0.3">
      <c r="A57" s="42">
        <v>2018</v>
      </c>
      <c r="B57" s="32">
        <v>204522.25700000025</v>
      </c>
      <c r="H57" s="4"/>
    </row>
    <row r="58" spans="1:8" x14ac:dyDescent="0.3">
      <c r="A58" s="42">
        <v>2020</v>
      </c>
      <c r="B58" s="32">
        <v>129103.96039999987</v>
      </c>
      <c r="H58" s="4"/>
    </row>
    <row r="59" spans="1:8" ht="16.2" thickBot="1" x14ac:dyDescent="0.35">
      <c r="A59" s="43">
        <v>2022</v>
      </c>
      <c r="B59" s="22">
        <v>131477.77639999994</v>
      </c>
      <c r="H59" s="4"/>
    </row>
    <row r="60" spans="1:8" x14ac:dyDescent="0.3">
      <c r="A60" s="3"/>
      <c r="H60" s="4"/>
    </row>
    <row r="61" spans="1:8" x14ac:dyDescent="0.3">
      <c r="A61" s="3"/>
      <c r="H61" s="4"/>
    </row>
    <row r="62" spans="1:8" ht="16.2" thickBot="1" x14ac:dyDescent="0.35">
      <c r="A62" s="34"/>
      <c r="B62" s="8"/>
      <c r="C62" s="8"/>
      <c r="D62" s="8"/>
      <c r="E62" s="8"/>
      <c r="F62" s="8"/>
      <c r="G62" s="8"/>
    </row>
    <row r="65" spans="1:6" ht="16.2" thickBot="1" x14ac:dyDescent="0.35"/>
    <row r="66" spans="1:6" ht="16.2" thickBot="1" x14ac:dyDescent="0.35">
      <c r="A66" s="49" t="s">
        <v>1626</v>
      </c>
      <c r="B66" s="50"/>
      <c r="C66" s="50"/>
      <c r="D66" s="31"/>
      <c r="E66" s="31"/>
      <c r="F66" s="17"/>
    </row>
    <row r="67" spans="1:6" ht="16.2" thickBot="1" x14ac:dyDescent="0.35">
      <c r="A67" s="37" t="s">
        <v>1621</v>
      </c>
      <c r="B67" s="36" t="s">
        <v>1611</v>
      </c>
      <c r="F67" s="4"/>
    </row>
    <row r="68" spans="1:6" x14ac:dyDescent="0.3">
      <c r="A68" s="41" t="s">
        <v>30</v>
      </c>
      <c r="B68" s="21">
        <v>248991.58600000024</v>
      </c>
      <c r="F68" s="4"/>
    </row>
    <row r="69" spans="1:6" x14ac:dyDescent="0.3">
      <c r="A69" s="42" t="s">
        <v>15</v>
      </c>
      <c r="B69" s="32">
        <v>507895.7363999993</v>
      </c>
      <c r="F69" s="4"/>
    </row>
    <row r="70" spans="1:6" ht="16.2" thickBot="1" x14ac:dyDescent="0.35">
      <c r="A70" s="43" t="s">
        <v>26</v>
      </c>
      <c r="B70" s="22">
        <v>444794.17039999936</v>
      </c>
      <c r="F70" s="4"/>
    </row>
    <row r="71" spans="1:6" x14ac:dyDescent="0.3">
      <c r="A71" s="3"/>
      <c r="F71" s="4"/>
    </row>
    <row r="72" spans="1:6" x14ac:dyDescent="0.3">
      <c r="A72" s="3"/>
      <c r="F72" s="4"/>
    </row>
    <row r="73" spans="1:6" x14ac:dyDescent="0.3">
      <c r="A73" s="3"/>
      <c r="F73" s="4"/>
    </row>
    <row r="74" spans="1:6" ht="16.2" thickBot="1" x14ac:dyDescent="0.35">
      <c r="A74" s="34"/>
      <c r="B74" s="8"/>
      <c r="C74" s="8"/>
      <c r="D74" s="8"/>
      <c r="E74" s="8"/>
      <c r="F74" s="35"/>
    </row>
    <row r="76" spans="1:6" ht="16.2" thickBot="1" x14ac:dyDescent="0.35"/>
    <row r="77" spans="1:6" ht="16.2" thickBot="1" x14ac:dyDescent="0.35">
      <c r="A77" s="49" t="s">
        <v>1628</v>
      </c>
      <c r="B77" s="50"/>
      <c r="C77" s="50"/>
      <c r="D77" s="50"/>
      <c r="E77" s="31"/>
      <c r="F77" s="17"/>
    </row>
    <row r="78" spans="1:6" ht="16.2" thickBot="1" x14ac:dyDescent="0.35">
      <c r="A78" s="37" t="s">
        <v>1621</v>
      </c>
      <c r="B78" s="36" t="s">
        <v>1611</v>
      </c>
      <c r="D78" t="s">
        <v>1627</v>
      </c>
      <c r="E78" t="s">
        <v>1608</v>
      </c>
      <c r="F78" s="4"/>
    </row>
    <row r="79" spans="1:6" x14ac:dyDescent="0.3">
      <c r="A79" s="41" t="s">
        <v>21</v>
      </c>
      <c r="B79" s="21">
        <v>472133.03319999954</v>
      </c>
      <c r="D79" t="str">
        <f>A79</f>
        <v>Tier 3</v>
      </c>
      <c r="E79" s="33">
        <f>GETPIVOTDATA("Sales",$A$78,"Outlet Location Type",A79)</f>
        <v>472133.03319999954</v>
      </c>
      <c r="F79" s="4"/>
    </row>
    <row r="80" spans="1:6" x14ac:dyDescent="0.3">
      <c r="A80" s="42" t="s">
        <v>34</v>
      </c>
      <c r="B80" s="32">
        <v>393150.64759999956</v>
      </c>
      <c r="D80" t="str">
        <f t="shared" ref="D80:D81" si="0">A80</f>
        <v>Tier 2</v>
      </c>
      <c r="E80" s="33">
        <f t="shared" ref="E80:E81" si="1">GETPIVOTDATA("Sales",$A$78,"Outlet Location Type",A80)</f>
        <v>393150.64759999956</v>
      </c>
      <c r="F80" s="4"/>
    </row>
    <row r="81" spans="1:6" ht="16.2" thickBot="1" x14ac:dyDescent="0.35">
      <c r="A81" s="43" t="s">
        <v>14</v>
      </c>
      <c r="B81" s="22">
        <v>336397.81199999945</v>
      </c>
      <c r="D81" t="str">
        <f t="shared" si="0"/>
        <v>Tier 1</v>
      </c>
      <c r="E81" s="33">
        <f t="shared" si="1"/>
        <v>336397.81199999945</v>
      </c>
      <c r="F81" s="4"/>
    </row>
    <row r="82" spans="1:6" x14ac:dyDescent="0.3">
      <c r="A82" s="3"/>
      <c r="F82" s="4"/>
    </row>
    <row r="83" spans="1:6" x14ac:dyDescent="0.3">
      <c r="A83" s="3"/>
      <c r="F83" s="4"/>
    </row>
    <row r="84" spans="1:6" x14ac:dyDescent="0.3">
      <c r="A84" s="3"/>
      <c r="F84" s="4"/>
    </row>
    <row r="85" spans="1:6" x14ac:dyDescent="0.3">
      <c r="A85" s="3"/>
      <c r="F85" s="4"/>
    </row>
    <row r="86" spans="1:6" x14ac:dyDescent="0.3">
      <c r="A86" s="3"/>
      <c r="F86" s="4"/>
    </row>
    <row r="87" spans="1:6" x14ac:dyDescent="0.3">
      <c r="A87" s="3"/>
      <c r="F87" s="4"/>
    </row>
    <row r="88" spans="1:6" x14ac:dyDescent="0.3">
      <c r="A88" s="3"/>
      <c r="F88" s="4"/>
    </row>
    <row r="89" spans="1:6" x14ac:dyDescent="0.3">
      <c r="A89" s="3"/>
      <c r="F89" s="4"/>
    </row>
    <row r="90" spans="1:6" x14ac:dyDescent="0.3">
      <c r="A90" s="3"/>
      <c r="F90" s="4"/>
    </row>
    <row r="91" spans="1:6" ht="16.2" thickBot="1" x14ac:dyDescent="0.35">
      <c r="A91" s="34"/>
      <c r="B91" s="8"/>
      <c r="C91" s="8"/>
      <c r="D91" s="8"/>
      <c r="E91" s="8"/>
      <c r="F91" s="35"/>
    </row>
    <row r="95" spans="1:6" ht="16.2" thickBot="1" x14ac:dyDescent="0.35"/>
    <row r="96" spans="1:6" ht="16.2" thickBot="1" x14ac:dyDescent="0.35">
      <c r="A96" s="18" t="s">
        <v>1621</v>
      </c>
      <c r="B96" s="36" t="s">
        <v>1611</v>
      </c>
    </row>
    <row r="97" spans="1:2" x14ac:dyDescent="0.3">
      <c r="A97" s="19" t="s">
        <v>40</v>
      </c>
      <c r="B97" s="21">
        <v>151939.149</v>
      </c>
    </row>
    <row r="98" spans="1:2" x14ac:dyDescent="0.3">
      <c r="A98" s="19" t="s">
        <v>46</v>
      </c>
      <c r="B98" s="32">
        <v>130714.67460000006</v>
      </c>
    </row>
    <row r="99" spans="1:2" x14ac:dyDescent="0.3">
      <c r="A99" s="19" t="s">
        <v>22</v>
      </c>
      <c r="B99" s="32">
        <v>131477.77639999994</v>
      </c>
    </row>
    <row r="100" spans="1:2" ht="16.2" thickBot="1" x14ac:dyDescent="0.35">
      <c r="A100" s="20" t="s">
        <v>16</v>
      </c>
      <c r="B100" s="22">
        <v>787549.89280000131</v>
      </c>
    </row>
    <row r="104" spans="1:2" ht="16.2" thickBot="1" x14ac:dyDescent="0.35"/>
    <row r="105" spans="1:2" ht="16.2" thickBot="1" x14ac:dyDescent="0.35">
      <c r="A105" s="18" t="s">
        <v>1621</v>
      </c>
      <c r="B105" s="36" t="s">
        <v>1629</v>
      </c>
    </row>
    <row r="106" spans="1:2" x14ac:dyDescent="0.3">
      <c r="A106" s="19" t="s">
        <v>40</v>
      </c>
      <c r="B106" s="38">
        <v>140.29468975069253</v>
      </c>
    </row>
    <row r="107" spans="1:2" x14ac:dyDescent="0.3">
      <c r="A107" s="19" t="s">
        <v>46</v>
      </c>
      <c r="B107" s="39">
        <v>139.80179101604284</v>
      </c>
    </row>
    <row r="108" spans="1:2" x14ac:dyDescent="0.3">
      <c r="A108" s="19" t="s">
        <v>22</v>
      </c>
      <c r="B108" s="39">
        <v>141.67863836206891</v>
      </c>
    </row>
    <row r="109" spans="1:2" ht="16.2" thickBot="1" x14ac:dyDescent="0.35">
      <c r="A109" s="20" t="s">
        <v>16</v>
      </c>
      <c r="B109" s="40">
        <v>141.21389506903375</v>
      </c>
    </row>
    <row r="114" spans="1:2" ht="16.2" thickBot="1" x14ac:dyDescent="0.35"/>
    <row r="115" spans="1:2" ht="16.2" thickBot="1" x14ac:dyDescent="0.35">
      <c r="A115" s="18" t="s">
        <v>1621</v>
      </c>
      <c r="B115" s="36" t="s">
        <v>1630</v>
      </c>
    </row>
    <row r="116" spans="1:2" x14ac:dyDescent="0.3">
      <c r="A116" s="19" t="s">
        <v>40</v>
      </c>
      <c r="B116" s="45">
        <v>1083</v>
      </c>
    </row>
    <row r="117" spans="1:2" x14ac:dyDescent="0.3">
      <c r="A117" s="19" t="s">
        <v>46</v>
      </c>
      <c r="B117" s="44">
        <v>935</v>
      </c>
    </row>
    <row r="118" spans="1:2" x14ac:dyDescent="0.3">
      <c r="A118" s="19" t="s">
        <v>22</v>
      </c>
      <c r="B118" s="44">
        <v>928</v>
      </c>
    </row>
    <row r="119" spans="1:2" ht="16.2" thickBot="1" x14ac:dyDescent="0.35">
      <c r="A119" s="20" t="s">
        <v>16</v>
      </c>
      <c r="B119" s="46">
        <v>5577</v>
      </c>
    </row>
  </sheetData>
  <mergeCells count="5">
    <mergeCell ref="A10:B10"/>
    <mergeCell ref="A17:B17"/>
    <mergeCell ref="A49:C49"/>
    <mergeCell ref="A66:C66"/>
    <mergeCell ref="A77:D77"/>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4218B-A206-4484-BC2F-BA340F915FC0}">
  <dimension ref="B12:F24"/>
  <sheetViews>
    <sheetView showGridLines="0" tabSelected="1" zoomScale="43" zoomScaleNormal="73" workbookViewId="0">
      <selection activeCell="Z35" sqref="Z35"/>
    </sheetView>
  </sheetViews>
  <sheetFormatPr defaultRowHeight="15.6" x14ac:dyDescent="0.3"/>
  <cols>
    <col min="1" max="1" width="11.8984375" bestFit="1" customWidth="1"/>
    <col min="2" max="2" width="12.296875" bestFit="1" customWidth="1"/>
    <col min="3" max="3" width="15.09765625" bestFit="1" customWidth="1"/>
    <col min="4" max="4" width="13.5" bestFit="1" customWidth="1"/>
  </cols>
  <sheetData>
    <row r="12" spans="2:4" ht="57" x14ac:dyDescent="1.1499999999999999">
      <c r="B12" s="2"/>
      <c r="D12" s="1" t="s">
        <v>1616</v>
      </c>
    </row>
    <row r="24" spans="6:6" x14ac:dyDescent="0.3">
      <c r="F24" t="s">
        <v>1620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A20" workbookViewId="0">
      <selection activeCell="E26" sqref="E26"/>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0</v>
      </c>
      <c r="B1" t="s">
        <v>1612</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1610</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1610</v>
      </c>
      <c r="B49">
        <v>48</v>
      </c>
      <c r="C49" t="s">
        <v>92</v>
      </c>
      <c r="D49" t="s">
        <v>24</v>
      </c>
      <c r="E49">
        <v>2012</v>
      </c>
      <c r="F49" t="s">
        <v>13</v>
      </c>
      <c r="G49" t="s">
        <v>14</v>
      </c>
      <c r="H49" t="s">
        <v>15</v>
      </c>
      <c r="I49" t="s">
        <v>16</v>
      </c>
      <c r="J49">
        <v>1.3658248E-2</v>
      </c>
      <c r="K49">
        <v>17.5</v>
      </c>
      <c r="L49">
        <v>256.3304</v>
      </c>
      <c r="M49">
        <v>5</v>
      </c>
    </row>
    <row r="50" spans="1:13" x14ac:dyDescent="0.3">
      <c r="A50" t="s">
        <v>1610</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1610</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1610</v>
      </c>
      <c r="B152">
        <v>151</v>
      </c>
      <c r="C152" t="s">
        <v>66</v>
      </c>
      <c r="D152" t="s">
        <v>67</v>
      </c>
      <c r="E152">
        <v>2015</v>
      </c>
      <c r="F152" t="s">
        <v>33</v>
      </c>
      <c r="G152" t="s">
        <v>34</v>
      </c>
      <c r="H152" t="s">
        <v>15</v>
      </c>
      <c r="I152" t="s">
        <v>16</v>
      </c>
      <c r="J152">
        <v>0</v>
      </c>
      <c r="K152">
        <v>17.25</v>
      </c>
      <c r="L152">
        <v>171.57640000000001</v>
      </c>
      <c r="M152">
        <v>5</v>
      </c>
    </row>
    <row r="153" spans="1:13" x14ac:dyDescent="0.3">
      <c r="A153" t="s">
        <v>1610</v>
      </c>
      <c r="B153">
        <v>152</v>
      </c>
      <c r="C153" t="s">
        <v>196</v>
      </c>
      <c r="D153" t="s">
        <v>19</v>
      </c>
      <c r="E153">
        <v>2020</v>
      </c>
      <c r="F153" t="s">
        <v>37</v>
      </c>
      <c r="G153" t="s">
        <v>34</v>
      </c>
      <c r="H153" t="s">
        <v>15</v>
      </c>
      <c r="I153" t="s">
        <v>16</v>
      </c>
      <c r="J153">
        <v>0</v>
      </c>
      <c r="K153">
        <v>12.15</v>
      </c>
      <c r="L153">
        <v>39.150599999999997</v>
      </c>
      <c r="M153">
        <v>5</v>
      </c>
    </row>
    <row r="154" spans="1:13" x14ac:dyDescent="0.3">
      <c r="A154" t="s">
        <v>1610</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1610</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1610</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1610</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1610</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1610</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1610</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1610</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1610</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1610</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1610</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1610</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1610</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1610</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1610</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1610</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1610</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1610</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1610</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1610</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1610</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1610</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1610</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1610</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1610</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1610</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1610</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1610</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1610</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1610</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1610</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1610</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1610</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1610</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1610</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1610</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1610</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1610</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1610</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1610</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1610</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1610</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1610</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1610</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1610</v>
      </c>
      <c r="B1913">
        <v>1912</v>
      </c>
      <c r="C1913" t="s">
        <v>1184</v>
      </c>
      <c r="D1913" t="s">
        <v>12</v>
      </c>
      <c r="E1913">
        <v>2018</v>
      </c>
      <c r="F1913" t="s">
        <v>45</v>
      </c>
      <c r="G1913" t="s">
        <v>21</v>
      </c>
      <c r="H1913" t="s">
        <v>15</v>
      </c>
      <c r="I1913" t="s">
        <v>46</v>
      </c>
      <c r="J1913">
        <v>0</v>
      </c>
      <c r="L1913">
        <v>245.01439999999999</v>
      </c>
      <c r="M1913">
        <v>4.3</v>
      </c>
    </row>
    <row r="1914" spans="1:13" x14ac:dyDescent="0.3">
      <c r="A1914" t="s">
        <v>1610</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1610</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1610</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1610</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1610</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1610</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1610</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1610</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1610</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1610</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1610</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1610</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1610</v>
      </c>
      <c r="B2220">
        <v>2219</v>
      </c>
      <c r="C2220" t="s">
        <v>592</v>
      </c>
      <c r="D2220" t="s">
        <v>64</v>
      </c>
      <c r="E2220">
        <v>2015</v>
      </c>
      <c r="F2220" t="s">
        <v>33</v>
      </c>
      <c r="G2220" t="s">
        <v>34</v>
      </c>
      <c r="H2220" t="s">
        <v>15</v>
      </c>
      <c r="I2220" t="s">
        <v>16</v>
      </c>
      <c r="J2220">
        <v>0</v>
      </c>
      <c r="K2220">
        <v>5.5</v>
      </c>
      <c r="L2220">
        <v>103.1016</v>
      </c>
      <c r="M2220">
        <v>4.2</v>
      </c>
    </row>
    <row r="2221" spans="1:13" x14ac:dyDescent="0.3">
      <c r="A2221" t="s">
        <v>1610</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1610</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1610</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1610</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1610</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1610</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1610</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1610</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1610</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1610</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1610</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1610</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1610</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1610</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1610</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1610</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1610</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1610</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1610</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1610</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1610</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1610</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1610</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1610</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1610</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1610</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1610</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1610</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1610</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1610</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1610</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1610</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1610</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1610</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1610</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1610</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1610</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1610</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1610</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1610</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1610</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1610</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1610</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1610</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1610</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1610</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1610</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1610</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1610</v>
      </c>
      <c r="B3640">
        <v>3639</v>
      </c>
      <c r="C3640" t="s">
        <v>1381</v>
      </c>
      <c r="D3640" t="s">
        <v>28</v>
      </c>
      <c r="E3640">
        <v>2014</v>
      </c>
      <c r="F3640" t="s">
        <v>29</v>
      </c>
      <c r="G3640" t="s">
        <v>21</v>
      </c>
      <c r="H3640" t="s">
        <v>30</v>
      </c>
      <c r="I3640" t="s">
        <v>16</v>
      </c>
      <c r="J3640">
        <v>0</v>
      </c>
      <c r="K3640">
        <v>14.5</v>
      </c>
      <c r="L3640">
        <v>154.4682</v>
      </c>
      <c r="M3640">
        <v>4</v>
      </c>
    </row>
    <row r="3641" spans="1:13" x14ac:dyDescent="0.3">
      <c r="A3641" t="s">
        <v>1610</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1610</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1610</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1610</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1610</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1610</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1610</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1610</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1610</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1610</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1610</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1610</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1610</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1610</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1610</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1610</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1610</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1610</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1610</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1610</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1610</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1610</v>
      </c>
      <c r="B4179">
        <v>4178</v>
      </c>
      <c r="C4179" t="s">
        <v>1541</v>
      </c>
      <c r="D4179" t="s">
        <v>48</v>
      </c>
      <c r="E4179">
        <v>2018</v>
      </c>
      <c r="F4179" t="s">
        <v>138</v>
      </c>
      <c r="G4179" t="s">
        <v>14</v>
      </c>
      <c r="H4179" t="s">
        <v>26</v>
      </c>
      <c r="I4179" t="s">
        <v>40</v>
      </c>
      <c r="J4179">
        <v>0.30374337000000001</v>
      </c>
      <c r="L4179">
        <v>196.011</v>
      </c>
      <c r="M4179">
        <v>3.8</v>
      </c>
    </row>
    <row r="4180" spans="1:13" x14ac:dyDescent="0.3">
      <c r="A4180" t="s">
        <v>1610</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1610</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1610</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1610</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1610</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1610</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1610</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1610</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1610</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1610</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1610</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1610</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1610</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1610</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1610</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1610</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1610</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1610</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1610</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1610</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1610</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1610</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1610</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1610</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1610</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1610</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1610</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1610</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1610</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1610</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1610</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1610</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1610</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1610</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1610</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1610</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1610</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1610</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1610</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1610</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1610</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1610</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1610</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1610</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1610</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1610</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1610</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1610</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1610</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1610</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1610</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1610</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1610</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1610</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1610</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1610</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1610</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1610</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1610</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1610</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1610</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1610</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1610</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1610</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1610</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1610</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1610</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1610</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1610</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1610</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1610</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1610</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1610</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1610</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1610</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1610</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1610</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1610</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1610</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1610</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1610</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1610</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1610</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1610</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1610</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1610</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1610</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1610</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1610</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1610</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1610</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1610</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1610</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1610</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1610</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1610</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1610</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1610</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1610</v>
      </c>
      <c r="B6425">
        <v>6424</v>
      </c>
      <c r="C6425" t="s">
        <v>793</v>
      </c>
      <c r="D6425" t="s">
        <v>12</v>
      </c>
      <c r="E6425">
        <v>2018</v>
      </c>
      <c r="F6425" t="s">
        <v>138</v>
      </c>
      <c r="G6425" t="s">
        <v>14</v>
      </c>
      <c r="H6425" t="s">
        <v>26</v>
      </c>
      <c r="I6425" t="s">
        <v>40</v>
      </c>
      <c r="J6425">
        <v>5.4363970999999997E-2</v>
      </c>
      <c r="L6425">
        <v>105.099</v>
      </c>
      <c r="M6425">
        <v>4</v>
      </c>
    </row>
    <row r="6426" spans="1:13" x14ac:dyDescent="0.3">
      <c r="A6426" t="s">
        <v>1610</v>
      </c>
      <c r="B6426">
        <v>6425</v>
      </c>
      <c r="C6426" t="s">
        <v>668</v>
      </c>
      <c r="D6426" t="s">
        <v>12</v>
      </c>
      <c r="E6426">
        <v>2018</v>
      </c>
      <c r="F6426" t="s">
        <v>138</v>
      </c>
      <c r="G6426" t="s">
        <v>14</v>
      </c>
      <c r="H6426" t="s">
        <v>26</v>
      </c>
      <c r="I6426" t="s">
        <v>40</v>
      </c>
      <c r="J6426">
        <v>0</v>
      </c>
      <c r="L6426">
        <v>258.39879999999999</v>
      </c>
      <c r="M6426">
        <v>4</v>
      </c>
    </row>
    <row r="6427" spans="1:13" x14ac:dyDescent="0.3">
      <c r="A6427" t="s">
        <v>1610</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1610</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1610</v>
      </c>
      <c r="B6429">
        <v>6428</v>
      </c>
      <c r="C6429" t="s">
        <v>1072</v>
      </c>
      <c r="D6429" t="s">
        <v>48</v>
      </c>
      <c r="E6429">
        <v>2018</v>
      </c>
      <c r="F6429" t="s">
        <v>138</v>
      </c>
      <c r="G6429" t="s">
        <v>14</v>
      </c>
      <c r="H6429" t="s">
        <v>26</v>
      </c>
      <c r="I6429" t="s">
        <v>40</v>
      </c>
      <c r="J6429">
        <v>0.28406587900000002</v>
      </c>
      <c r="L6429">
        <v>105.5622</v>
      </c>
      <c r="M6429">
        <v>4</v>
      </c>
    </row>
    <row r="6430" spans="1:13" x14ac:dyDescent="0.3">
      <c r="A6430" t="s">
        <v>1610</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1610</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1610</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1610</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1610</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1610</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1610</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1610</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1610</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1610</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1610</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1610</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1610</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1610</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1610</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1610</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1610</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1610</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1610</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1610</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1610</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1610</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1610</v>
      </c>
      <c r="B6842">
        <v>6841</v>
      </c>
      <c r="C6842" t="s">
        <v>1353</v>
      </c>
      <c r="D6842" t="s">
        <v>48</v>
      </c>
      <c r="E6842">
        <v>2020</v>
      </c>
      <c r="F6842" t="s">
        <v>37</v>
      </c>
      <c r="G6842" t="s">
        <v>34</v>
      </c>
      <c r="H6842" t="s">
        <v>15</v>
      </c>
      <c r="I6842" t="s">
        <v>16</v>
      </c>
      <c r="J6842">
        <v>0</v>
      </c>
      <c r="K6842">
        <v>18.5</v>
      </c>
      <c r="L6842">
        <v>119.8124</v>
      </c>
      <c r="M6842">
        <v>4</v>
      </c>
    </row>
    <row r="6843" spans="1:13" x14ac:dyDescent="0.3">
      <c r="A6843" t="s">
        <v>1610</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1610</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1610</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1610</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1610</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1610</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1610</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1610</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1610</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1610</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1610</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1610</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1610</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1610</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1610</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1610</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1610</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1610</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1610</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1610</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1610</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1610</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1610</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1610</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1610</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1610</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1610</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1610</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1610</v>
      </c>
      <c r="B7976">
        <v>7975</v>
      </c>
      <c r="C7976" t="s">
        <v>1261</v>
      </c>
      <c r="D7976" t="s">
        <v>28</v>
      </c>
      <c r="E7976">
        <v>2022</v>
      </c>
      <c r="F7976" t="s">
        <v>20</v>
      </c>
      <c r="G7976" t="s">
        <v>21</v>
      </c>
      <c r="H7976" t="s">
        <v>15</v>
      </c>
      <c r="I7976" t="s">
        <v>22</v>
      </c>
      <c r="J7976">
        <v>0</v>
      </c>
      <c r="K7976">
        <v>16.25</v>
      </c>
      <c r="L7976">
        <v>90.2804</v>
      </c>
      <c r="M7976">
        <v>4</v>
      </c>
    </row>
    <row r="7977" spans="1:13" x14ac:dyDescent="0.3">
      <c r="A7977" t="s">
        <v>1610</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1610</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1610</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1610</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1610</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1610</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1610</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1610</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1610</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1610</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1610</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1610</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1610</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1610</v>
      </c>
      <c r="B8249">
        <v>8248</v>
      </c>
      <c r="C8249" t="s">
        <v>662</v>
      </c>
      <c r="D8249" t="s">
        <v>57</v>
      </c>
      <c r="E8249">
        <v>2018</v>
      </c>
      <c r="F8249" t="s">
        <v>45</v>
      </c>
      <c r="G8249" t="s">
        <v>21</v>
      </c>
      <c r="H8249" t="s">
        <v>15</v>
      </c>
      <c r="I8249" t="s">
        <v>46</v>
      </c>
      <c r="J8249">
        <v>0</v>
      </c>
      <c r="L8249">
        <v>87.685599999999994</v>
      </c>
      <c r="M8249">
        <v>4</v>
      </c>
    </row>
    <row r="8250" spans="1:13" x14ac:dyDescent="0.3">
      <c r="A8250" t="s">
        <v>1610</v>
      </c>
      <c r="B8250">
        <v>8249</v>
      </c>
      <c r="C8250" t="s">
        <v>1441</v>
      </c>
      <c r="D8250" t="s">
        <v>12</v>
      </c>
      <c r="E8250">
        <v>2018</v>
      </c>
      <c r="F8250" t="s">
        <v>45</v>
      </c>
      <c r="G8250" t="s">
        <v>21</v>
      </c>
      <c r="H8250" t="s">
        <v>15</v>
      </c>
      <c r="I8250" t="s">
        <v>46</v>
      </c>
      <c r="J8250">
        <v>2.7183141000000001E-2</v>
      </c>
      <c r="L8250">
        <v>99.7042</v>
      </c>
      <c r="M8250">
        <v>4</v>
      </c>
    </row>
    <row r="8251" spans="1:13" x14ac:dyDescent="0.3">
      <c r="A8251" t="s">
        <v>1610</v>
      </c>
      <c r="B8251">
        <v>8250</v>
      </c>
      <c r="C8251" t="s">
        <v>718</v>
      </c>
      <c r="D8251" t="s">
        <v>19</v>
      </c>
      <c r="E8251">
        <v>2018</v>
      </c>
      <c r="F8251" t="s">
        <v>45</v>
      </c>
      <c r="G8251" t="s">
        <v>21</v>
      </c>
      <c r="H8251" t="s">
        <v>15</v>
      </c>
      <c r="I8251" t="s">
        <v>46</v>
      </c>
      <c r="J8251">
        <v>0</v>
      </c>
      <c r="L8251">
        <v>64.216800000000006</v>
      </c>
      <c r="M8251">
        <v>4</v>
      </c>
    </row>
    <row r="8252" spans="1:13" x14ac:dyDescent="0.3">
      <c r="A8252" t="s">
        <v>1610</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1610</v>
      </c>
      <c r="B8253">
        <v>8252</v>
      </c>
      <c r="C8253" t="s">
        <v>1134</v>
      </c>
      <c r="D8253" t="s">
        <v>42</v>
      </c>
      <c r="E8253">
        <v>2018</v>
      </c>
      <c r="F8253" t="s">
        <v>45</v>
      </c>
      <c r="G8253" t="s">
        <v>21</v>
      </c>
      <c r="H8253" t="s">
        <v>15</v>
      </c>
      <c r="I8253" t="s">
        <v>46</v>
      </c>
      <c r="J8253">
        <v>0.102941345</v>
      </c>
      <c r="L8253">
        <v>171.2448</v>
      </c>
      <c r="M8253">
        <v>4</v>
      </c>
    </row>
    <row r="8254" spans="1:13" x14ac:dyDescent="0.3">
      <c r="A8254" t="s">
        <v>1610</v>
      </c>
      <c r="B8254">
        <v>8253</v>
      </c>
      <c r="C8254" t="s">
        <v>75</v>
      </c>
      <c r="D8254" t="s">
        <v>42</v>
      </c>
      <c r="E8254">
        <v>2018</v>
      </c>
      <c r="F8254" t="s">
        <v>45</v>
      </c>
      <c r="G8254" t="s">
        <v>21</v>
      </c>
      <c r="H8254" t="s">
        <v>15</v>
      </c>
      <c r="I8254" t="s">
        <v>46</v>
      </c>
      <c r="J8254">
        <v>8.0249973000000002E-2</v>
      </c>
      <c r="L8254">
        <v>168.679</v>
      </c>
      <c r="M8254">
        <v>4</v>
      </c>
    </row>
    <row r="8255" spans="1:13" x14ac:dyDescent="0.3">
      <c r="A8255" t="s">
        <v>1610</v>
      </c>
      <c r="B8255">
        <v>8254</v>
      </c>
      <c r="C8255" t="s">
        <v>1070</v>
      </c>
      <c r="D8255" t="s">
        <v>42</v>
      </c>
      <c r="E8255">
        <v>2018</v>
      </c>
      <c r="F8255" t="s">
        <v>45</v>
      </c>
      <c r="G8255" t="s">
        <v>21</v>
      </c>
      <c r="H8255" t="s">
        <v>15</v>
      </c>
      <c r="I8255" t="s">
        <v>46</v>
      </c>
      <c r="J8255">
        <v>6.0888513999999998E-2</v>
      </c>
      <c r="L8255">
        <v>130.1968</v>
      </c>
      <c r="M8255">
        <v>4</v>
      </c>
    </row>
    <row r="8256" spans="1:13" x14ac:dyDescent="0.3">
      <c r="A8256" t="s">
        <v>1610</v>
      </c>
      <c r="B8256">
        <v>8255</v>
      </c>
      <c r="C8256" t="s">
        <v>1526</v>
      </c>
      <c r="D8256" t="s">
        <v>54</v>
      </c>
      <c r="E8256">
        <v>2018</v>
      </c>
      <c r="F8256" t="s">
        <v>45</v>
      </c>
      <c r="G8256" t="s">
        <v>21</v>
      </c>
      <c r="H8256" t="s">
        <v>15</v>
      </c>
      <c r="I8256" t="s">
        <v>46</v>
      </c>
      <c r="J8256">
        <v>3.2024658999999997E-2</v>
      </c>
      <c r="L8256">
        <v>62.7194</v>
      </c>
      <c r="M8256">
        <v>4</v>
      </c>
    </row>
    <row r="8257" spans="1:13" x14ac:dyDescent="0.3">
      <c r="A8257" t="s">
        <v>1610</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1610</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1610</v>
      </c>
      <c r="B8259">
        <v>8258</v>
      </c>
      <c r="C8259" t="s">
        <v>1173</v>
      </c>
      <c r="D8259" t="s">
        <v>48</v>
      </c>
      <c r="E8259">
        <v>2018</v>
      </c>
      <c r="F8259" t="s">
        <v>45</v>
      </c>
      <c r="G8259" t="s">
        <v>21</v>
      </c>
      <c r="H8259" t="s">
        <v>15</v>
      </c>
      <c r="I8259" t="s">
        <v>46</v>
      </c>
      <c r="J8259">
        <v>7.4830794000000006E-2</v>
      </c>
      <c r="L8259">
        <v>125.9046</v>
      </c>
      <c r="M8259">
        <v>4</v>
      </c>
    </row>
    <row r="8260" spans="1:13" x14ac:dyDescent="0.3">
      <c r="A8260" t="s">
        <v>1610</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1610</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Sheet1</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SWETA KAWALE</cp:lastModifiedBy>
  <dcterms:created xsi:type="dcterms:W3CDTF">2024-06-23T13:11:17Z</dcterms:created>
  <dcterms:modified xsi:type="dcterms:W3CDTF">2026-09-22T18:23:38Z</dcterms:modified>
</cp:coreProperties>
</file>